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동근 님\아주대학교\4학년 1학기\산업수학 프로젝트\"/>
    </mc:Choice>
  </mc:AlternateContent>
  <xr:revisionPtr revIDLastSave="0" documentId="8_{9A647725-7AD5-4228-9CAE-79354F1260C7}" xr6:coauthVersionLast="36" xr6:coauthVersionMax="36" xr10:uidLastSave="{00000000-0000-0000-0000-000000000000}"/>
  <bookViews>
    <workbookView xWindow="0" yWindow="0" windowWidth="23040" windowHeight="8976" activeTab="3" xr2:uid="{00000000-000D-0000-FFFF-FFFF00000000}"/>
  </bookViews>
  <sheets>
    <sheet name="2025년" sheetId="1" r:id="rId1"/>
    <sheet name="2023년" sheetId="2" r:id="rId2"/>
    <sheet name="2022년" sheetId="3" r:id="rId3"/>
    <sheet name="구별 주차장 확보율" sheetId="4" r:id="rId4"/>
  </sheets>
  <calcPr calcId="191029"/>
</workbook>
</file>

<file path=xl/calcChain.xml><?xml version="1.0" encoding="utf-8"?>
<calcChain xmlns="http://schemas.openxmlformats.org/spreadsheetml/2006/main">
  <c r="C5" i="4" l="1"/>
  <c r="D5" i="4"/>
  <c r="E5" i="4"/>
  <c r="B5" i="4"/>
  <c r="F70" i="1"/>
  <c r="F71" i="1"/>
  <c r="F72" i="1"/>
  <c r="F73" i="1"/>
</calcChain>
</file>

<file path=xl/sharedStrings.xml><?xml version="1.0" encoding="utf-8"?>
<sst xmlns="http://schemas.openxmlformats.org/spreadsheetml/2006/main" count="843" uniqueCount="317">
  <si>
    <t>주차장명</t>
  </si>
  <si>
    <t>운영 시간</t>
  </si>
  <si>
    <t>주차 요금</t>
  </si>
  <si>
    <t>주차면수</t>
  </si>
  <si>
    <t>도로명 경기 수원시 팔달구 고등로 고등동 공영주차장</t>
  </si>
  <si>
    <t>24시간 휴무일 없음</t>
  </si>
  <si>
    <t>기본 500원(70분)추가 500원(10분당)전일 10,000원</t>
  </si>
  <si>
    <t>도로명 경기 수원시 권선구 곡선로49번길 14-5 (곡반정동)</t>
  </si>
  <si>
    <t>기본 300원(70분)추가 300원(10분당)전일 7,000원</t>
  </si>
  <si>
    <t>도로명 경기 수원시 권선구 곡반정로 188 (곡반정동)</t>
  </si>
  <si>
    <t>도로명 경기 수원시 권선구 곡반정로158번길 4 (곡반정동)</t>
  </si>
  <si>
    <t>도로명 경기 수원시 영통구 대학1로8번길 33 (이의동)</t>
  </si>
  <si>
    <t>도로명 경기 수원시 장안구 광교산로 159 (하광교동)</t>
  </si>
  <si>
    <t>기본 100원(70분)추가 100원(10분당)전일 4,000원</t>
  </si>
  <si>
    <t>도로명 경기 수원시 영통구 대학1로 36 (이의동)</t>
  </si>
  <si>
    <t>도로명 경기 수원시 영통구 웰빙타운로36번길 46-215 광교외식타운 공영주차장</t>
  </si>
  <si>
    <t>도로명 경기 수원시 영통구 광교호수로 75 (하동)</t>
  </si>
  <si>
    <t>도로명 경기 수원시 영통구 광교중앙로25번길 17 (원천동)</t>
  </si>
  <si>
    <t>24시간 휴무일 토 일</t>
  </si>
  <si>
    <t>도로명 경기 수원시 영통구 센트럴파크로127번길 80-5 (이의동)</t>
  </si>
  <si>
    <t>도로명 경기 수원시 영통구 광교호수로 165 (하동)</t>
  </si>
  <si>
    <t>도로명 경기 수원시 영통구 대학로 88 (이의동)</t>
  </si>
  <si>
    <t>07:00 ~ 23:30휴무일 월</t>
  </si>
  <si>
    <t>도로명 경기 수원시 팔달구 향교로 140 (교동)</t>
  </si>
  <si>
    <t>00:00 ~ 00:00휴무일 없음</t>
  </si>
  <si>
    <t>도로명 경기 수원시 권선구 구운로14번길 42 (구운동)</t>
  </si>
  <si>
    <t>도로명 경기 수원시 권선구 호매실로 12 (탑동,권선구청)</t>
  </si>
  <si>
    <t>도로명 경기 수원시 권선구 세지로82번길 15-5 (권선동)</t>
  </si>
  <si>
    <t>도로명 경기 수원시 팔달구 화산로6번길 6 (화서동)</t>
  </si>
  <si>
    <t>도로명 경기 수원시 팔달구 창룡대로26번길 19 (남수동)</t>
  </si>
  <si>
    <t>도로명 경기 수원시 권선구 세권로 243</t>
  </si>
  <si>
    <t>기본 200원(70분)추가 200원(10분당)전일 6,000원</t>
  </si>
  <si>
    <t>도로명 경기 수원시 권선구 정조로 224 (대황교동)</t>
  </si>
  <si>
    <t>기본 400원(30분)추가 100원(10분당)전일 4,000원</t>
  </si>
  <si>
    <t>도로명 경기 수원시 장안구 송정로 (송죽동)</t>
  </si>
  <si>
    <t>도로명 경기 수원시 장안구 정조로 1085 (송죽동)</t>
  </si>
  <si>
    <t>도로명 경기 수원시 장안구 정조로1053번길 36 (송죽동)</t>
  </si>
  <si>
    <t>도로명 경기 수원시 장안구 송정로 19 (송죽동)</t>
  </si>
  <si>
    <t>도로명 경기 수원시 영통구 영통로200번길 1 (영통동)</t>
  </si>
  <si>
    <t>도로명 경기 수원시 영통구 동탄원천로1109번길 61 (매탄동)</t>
  </si>
  <si>
    <t>도로명 경기 수원시 영통구 매탄로108번길 21-1 (매탄동)</t>
  </si>
  <si>
    <t>10:00 ~ 20:00휴무일 토 일</t>
  </si>
  <si>
    <t>기본 600원(30분)추가 300원(10분당)전일 7,000원</t>
  </si>
  <si>
    <t>도로명 경기 수원시 영통구 매탄로 185 (매탄동)</t>
  </si>
  <si>
    <t>도로명 경기 수원시 장안구 정자천로133번길 26 (정자동)</t>
  </si>
  <si>
    <t>도로명 경기 수원시 팔달구 신풍로23번길 68 (신풍동,선경도서관)</t>
  </si>
  <si>
    <t>도로명 경기 수원시 장안구 덕영대로417번길 10 (율전동)</t>
  </si>
  <si>
    <t>도로명 경기 수원시 장안구 덕영대로417번길 1 (율전동)</t>
  </si>
  <si>
    <t>도로명 경기 수원시 권선구 정조로 379 (장지동)</t>
  </si>
  <si>
    <t>도로명 경기 수원시 팔달구 효원로 241 (인계동,수원시청)</t>
  </si>
  <si>
    <t>기본 500원(40분)추가 500원(10분당)전일 10,000원</t>
  </si>
  <si>
    <t>도로명 경기 수원시 팔달구 효원로235번길 13 (인계동)</t>
  </si>
  <si>
    <t>도로명 경기 수원시 권선구 서부로1390번길 114 (고색동) 551번지 수원화물공영차고지</t>
  </si>
  <si>
    <t>도로명 경기 수원시 영통구 광교호수로 224 (하동)</t>
  </si>
  <si>
    <t>도로명 경기 수원시 영통구 권선로908번길 26-18 (신동)</t>
  </si>
  <si>
    <t>도로명 경기 수원시 권선구 권선로357번길 13 (서둔동)</t>
  </si>
  <si>
    <t>기본 200원(70분)추가 200원(10분당)전일 10,000원</t>
  </si>
  <si>
    <t>도로명 경기 수원시 장안구 경수대로743번길 57 (연무동) 지하 1층</t>
  </si>
  <si>
    <t>도로명 경기 수원시 영통구 봉영로 1598 (영통동)</t>
  </si>
  <si>
    <t>도로명 경기 수원시 영통구 효원로 407 (매탄동,영통구청)</t>
  </si>
  <si>
    <t>도로명 경기 수원시 영통구 영통로213번길 16 (영통동)</t>
  </si>
  <si>
    <t>10:00 ~ 20:00휴무일 일</t>
  </si>
  <si>
    <t>기본 900원(30분)추가 500원(10분당)전일 10,000원</t>
  </si>
  <si>
    <t>도로명 경기 수원시 영통구 청명남로 57 (영통동)</t>
  </si>
  <si>
    <t>도로명 경기 수원시 장안구 수성로382번길 30 (영화동,영화동 공영주차장)</t>
  </si>
  <si>
    <t>도로명 경기 수원시 팔달구 아주로27번길 5 (우만동)</t>
  </si>
  <si>
    <t>도로명 경기 수원시 팔달구 세지로 436</t>
  </si>
  <si>
    <t>도로명 경기 수원시 장안구 화산로233번길 35 밤밭고가도로 밑 (율전동)</t>
  </si>
  <si>
    <t>도로명 경기 수원시 장안구 서부로 2095 밤밭고가도로 밑 (율전동)</t>
  </si>
  <si>
    <t>도로명 경기 수원시 장안구 서부로 2133</t>
  </si>
  <si>
    <t>도로명 경기 수원시 팔달구 장다리로306번길 24 (인계동)</t>
  </si>
  <si>
    <t>도로명 경기 수원시 팔달구 세지로 233 (인계동)</t>
  </si>
  <si>
    <t>도로명 경기 수원시 장안구 일월로 61 (천천동)</t>
  </si>
  <si>
    <t>기본 2,000원(180분)추가 1,000원(180분당)전일 5,000원</t>
  </si>
  <si>
    <t>도로명 경기 수원시 팔달구 장다리로 283</t>
  </si>
  <si>
    <t>10:00 ~ 19:00휴무일 토 일</t>
  </si>
  <si>
    <t>도로명 경기 수원시 팔달구 정조로885번길 1 (장안동)</t>
  </si>
  <si>
    <t>도로명 경기 수원시 팔달구 월드컵로381번길 2 (우만동)</t>
  </si>
  <si>
    <t>도로명 경기 수원시 권선구 경수대로 270 (권선동,터미널동, 할인점동)</t>
  </si>
  <si>
    <t>도로명 경기 수원시 장안구 파장천로 115-8 (파장동)</t>
  </si>
  <si>
    <t>도로명 경기 수원시 팔달구 수성로157번길 27-4 화서동 먹거리촌 공영주차장</t>
  </si>
  <si>
    <t>도로명 경기 수원시 팔달구 팔달로119번길 29 화서시장 공영주차장 (화서동)</t>
  </si>
  <si>
    <t>도로명 경기 수원시 팔달구 덕영대로 691-13 (화서동)</t>
  </si>
  <si>
    <t>도로명 경기 수원시 팔달구 창룡대로 21</t>
  </si>
  <si>
    <t>도로명 경기 수원시 장안구 팔달로 280</t>
  </si>
  <si>
    <t>고등동</t>
    <phoneticPr fontId="18" type="noConversion"/>
  </si>
  <si>
    <t>노외</t>
    <phoneticPr fontId="18" type="noConversion"/>
  </si>
  <si>
    <t>곡반정동 제2공영</t>
    <phoneticPr fontId="18" type="noConversion"/>
  </si>
  <si>
    <t>곡반정동 제7공영</t>
    <phoneticPr fontId="18" type="noConversion"/>
  </si>
  <si>
    <t>곡반정동 제8공영</t>
    <phoneticPr fontId="18" type="noConversion"/>
  </si>
  <si>
    <t>광교 1동 공영</t>
    <phoneticPr fontId="18" type="noConversion"/>
  </si>
  <si>
    <t>광교 공영</t>
    <phoneticPr fontId="18" type="noConversion"/>
  </si>
  <si>
    <t>광교 대학로 공영</t>
    <phoneticPr fontId="18" type="noConversion"/>
  </si>
  <si>
    <t>광교 외식타운</t>
    <phoneticPr fontId="18" type="noConversion"/>
  </si>
  <si>
    <t>광교 원천호수</t>
    <phoneticPr fontId="18" type="noConversion"/>
  </si>
  <si>
    <t>광교 중앙마을 공영</t>
    <phoneticPr fontId="18" type="noConversion"/>
  </si>
  <si>
    <t>광교 카페거리1 공영</t>
    <phoneticPr fontId="18" type="noConversion"/>
  </si>
  <si>
    <t>광교 행복한들</t>
    <phoneticPr fontId="18" type="noConversion"/>
  </si>
  <si>
    <t>부설</t>
    <phoneticPr fontId="18" type="noConversion"/>
  </si>
  <si>
    <t>광교홍재도서관</t>
    <phoneticPr fontId="18" type="noConversion"/>
  </si>
  <si>
    <t>교동 공영</t>
    <phoneticPr fontId="18" type="noConversion"/>
  </si>
  <si>
    <t>구운공원</t>
    <phoneticPr fontId="18" type="noConversion"/>
  </si>
  <si>
    <t>권선구청 부설</t>
    <phoneticPr fontId="18" type="noConversion"/>
  </si>
  <si>
    <t>권선동지하 공영</t>
    <phoneticPr fontId="18" type="noConversion"/>
  </si>
  <si>
    <t>꽃뫼환승</t>
    <phoneticPr fontId="18" type="noConversion"/>
  </si>
  <si>
    <t>남수동 공영</t>
    <phoneticPr fontId="18" type="noConversion"/>
  </si>
  <si>
    <t>농수산물도매시장</t>
    <phoneticPr fontId="18" type="noConversion"/>
  </si>
  <si>
    <t>대황교화물</t>
    <phoneticPr fontId="18" type="noConversion"/>
  </si>
  <si>
    <t>만석 1주차장</t>
    <phoneticPr fontId="18" type="noConversion"/>
  </si>
  <si>
    <t>만석 2주차장</t>
    <phoneticPr fontId="18" type="noConversion"/>
  </si>
  <si>
    <t>만석 3주차장</t>
    <phoneticPr fontId="18" type="noConversion"/>
  </si>
  <si>
    <t>만석 4주차장</t>
    <phoneticPr fontId="18" type="noConversion"/>
  </si>
  <si>
    <t>만석 5주차장</t>
    <phoneticPr fontId="18" type="noConversion"/>
  </si>
  <si>
    <t>망포 공영</t>
    <phoneticPr fontId="18" type="noConversion"/>
  </si>
  <si>
    <t>매봉 공영</t>
    <phoneticPr fontId="18" type="noConversion"/>
  </si>
  <si>
    <t>매탄4지구</t>
    <phoneticPr fontId="18" type="noConversion"/>
  </si>
  <si>
    <t>노상</t>
    <phoneticPr fontId="18" type="noConversion"/>
  </si>
  <si>
    <t>매탄공원 공영</t>
    <phoneticPr fontId="18" type="noConversion"/>
  </si>
  <si>
    <t>백설 공영</t>
    <phoneticPr fontId="18" type="noConversion"/>
  </si>
  <si>
    <t>선경도서관</t>
    <phoneticPr fontId="18" type="noConversion"/>
  </si>
  <si>
    <t>성균관대역 환승</t>
    <phoneticPr fontId="18" type="noConversion"/>
  </si>
  <si>
    <t>성대 환승(구)</t>
    <phoneticPr fontId="18" type="noConversion"/>
  </si>
  <si>
    <t>세류역환승</t>
    <phoneticPr fontId="18" type="noConversion"/>
  </si>
  <si>
    <t>수원시청 별관</t>
    <phoneticPr fontId="18" type="noConversion"/>
  </si>
  <si>
    <t>수원시청 정문</t>
    <phoneticPr fontId="18" type="noConversion"/>
  </si>
  <si>
    <t>수원시청 제2부설</t>
    <phoneticPr fontId="18" type="noConversion"/>
  </si>
  <si>
    <t>수원화물차고지</t>
    <phoneticPr fontId="18" type="noConversion"/>
  </si>
  <si>
    <t>신대호수</t>
    <phoneticPr fontId="18" type="noConversion"/>
  </si>
  <si>
    <t>신동 제1</t>
    <phoneticPr fontId="18" type="noConversion"/>
  </si>
  <si>
    <t>역세권1지구</t>
    <phoneticPr fontId="18" type="noConversion"/>
  </si>
  <si>
    <t>연무동 공영</t>
    <phoneticPr fontId="18" type="noConversion"/>
  </si>
  <si>
    <t>영통 공영</t>
    <phoneticPr fontId="18" type="noConversion"/>
  </si>
  <si>
    <t>영통구청 부설</t>
    <phoneticPr fontId="18" type="noConversion"/>
  </si>
  <si>
    <t>영통우체국</t>
    <phoneticPr fontId="18" type="noConversion"/>
  </si>
  <si>
    <t>영통중앙길</t>
    <phoneticPr fontId="18" type="noConversion"/>
  </si>
  <si>
    <t>영화동 지상</t>
    <phoneticPr fontId="18" type="noConversion"/>
  </si>
  <si>
    <t>영화동 지하</t>
    <phoneticPr fontId="18" type="noConversion"/>
  </si>
  <si>
    <t>우만2동</t>
    <phoneticPr fontId="18" type="noConversion"/>
  </si>
  <si>
    <t>우만공원 공영</t>
    <phoneticPr fontId="18" type="noConversion"/>
  </si>
  <si>
    <t>율전 공영</t>
    <phoneticPr fontId="18" type="noConversion"/>
  </si>
  <si>
    <t>율전 제2공영</t>
    <phoneticPr fontId="18" type="noConversion"/>
  </si>
  <si>
    <t>율전 제3</t>
    <phoneticPr fontId="18" type="noConversion"/>
  </si>
  <si>
    <t>인계 공영</t>
    <phoneticPr fontId="18" type="noConversion"/>
  </si>
  <si>
    <t>인계동주택가 공영</t>
    <phoneticPr fontId="18" type="noConversion"/>
  </si>
  <si>
    <t>일월수목원</t>
    <phoneticPr fontId="18" type="noConversion"/>
  </si>
  <si>
    <t>장다리길</t>
    <phoneticPr fontId="18" type="noConversion"/>
  </si>
  <si>
    <t>장안동 공영</t>
    <phoneticPr fontId="18" type="noConversion"/>
  </si>
  <si>
    <t>창룡 공영</t>
    <phoneticPr fontId="18" type="noConversion"/>
  </si>
  <si>
    <t>터미널 공영</t>
    <phoneticPr fontId="18" type="noConversion"/>
  </si>
  <si>
    <t>파장동 맛고을거리</t>
    <phoneticPr fontId="18" type="noConversion"/>
  </si>
  <si>
    <t>화서동 먹거리촌</t>
    <phoneticPr fontId="18" type="noConversion"/>
  </si>
  <si>
    <t>화서시장</t>
    <phoneticPr fontId="18" type="noConversion"/>
  </si>
  <si>
    <t>화서역환승</t>
    <phoneticPr fontId="18" type="noConversion"/>
  </si>
  <si>
    <t>화성박물관(팔달구청)</t>
    <phoneticPr fontId="18" type="noConversion"/>
  </si>
  <si>
    <t>화홍문 공영</t>
    <phoneticPr fontId="18" type="noConversion"/>
  </si>
  <si>
    <t>주차장유형</t>
  </si>
  <si>
    <t>농수산물도매시장</t>
  </si>
  <si>
    <t>부설</t>
  </si>
  <si>
    <t>권선구 세권로 243(권선동)</t>
  </si>
  <si>
    <t>선경도서관</t>
  </si>
  <si>
    <t>팔달구 신풍로 23번길 68(신풍동)</t>
  </si>
  <si>
    <t>영통도서관</t>
  </si>
  <si>
    <t>영통구 영통동 청명로 151번길(영통동)</t>
  </si>
  <si>
    <t>시청2부설(의회부지)</t>
  </si>
  <si>
    <t>팔달구 효원로 235번길 13(인계동)</t>
  </si>
  <si>
    <t>시청별관</t>
  </si>
  <si>
    <t>팔달구 효원로 241(인계동)</t>
  </si>
  <si>
    <t>시청정문</t>
  </si>
  <si>
    <t>영통구청</t>
  </si>
  <si>
    <t>영통구 효원로 407(매탄동)</t>
  </si>
  <si>
    <t>화성박물관(팔달구청)</t>
  </si>
  <si>
    <t>팔달구 창룡대로 21</t>
  </si>
  <si>
    <t>권선구청</t>
  </si>
  <si>
    <t>권선구 호매실로 12</t>
  </si>
  <si>
    <t>광교홍재도서관</t>
  </si>
  <si>
    <t>영통구 대학로88</t>
  </si>
  <si>
    <t>일월수목원</t>
  </si>
  <si>
    <t>장안구 일월로 61(천천동)</t>
  </si>
  <si>
    <t>꽃뫼환승</t>
  </si>
  <si>
    <t>환승</t>
  </si>
  <si>
    <t>팔달구 화산로6번길 6(화서동)</t>
  </si>
  <si>
    <t>성대환승(구)</t>
  </si>
  <si>
    <t>장안구 덕영대로 439번길 18-10(율전동)</t>
  </si>
  <si>
    <t>성균관대역환승(신)</t>
  </si>
  <si>
    <t>장안구 화산로 242(율전동)</t>
  </si>
  <si>
    <t>세류역환승</t>
  </si>
  <si>
    <t>권선구 권선구 정조로 379(세류동)</t>
  </si>
  <si>
    <t>화서환승</t>
  </si>
  <si>
    <t>팔달구 덕영대로 691-13(화서동)</t>
  </si>
  <si>
    <t>광교공영</t>
  </si>
  <si>
    <t>공원</t>
  </si>
  <si>
    <t>장안구 광교산로 160(하광교동)</t>
  </si>
  <si>
    <t>만석공원(만석5)</t>
  </si>
  <si>
    <t>장안구 송정로 19(송죽동)</t>
  </si>
  <si>
    <t>만석공원 제1</t>
  </si>
  <si>
    <t>장안구 송정로 9(송죽동)</t>
  </si>
  <si>
    <t>만석공원 제2</t>
  </si>
  <si>
    <t>만석공원 제3</t>
  </si>
  <si>
    <t>만석공원 제4</t>
  </si>
  <si>
    <t>매탄공원</t>
  </si>
  <si>
    <t>영통구 매탄로 185(매탄동)</t>
  </si>
  <si>
    <t>신대호수(제3주차장)</t>
  </si>
  <si>
    <t>영통구 광교호수로 214(하동)</t>
  </si>
  <si>
    <t>원천호수공원(제1주차장)</t>
  </si>
  <si>
    <t>영통구 광교호수로 75(하동)</t>
  </si>
  <si>
    <t>행복한들(제2주차장)</t>
  </si>
  <si>
    <t>영통구 광교호수로 165(하동)</t>
  </si>
  <si>
    <t>권선지하</t>
  </si>
  <si>
    <t>주택가</t>
  </si>
  <si>
    <t>권선구 세지로 82번길 15-3(권선동)</t>
  </si>
  <si>
    <t>남수동</t>
  </si>
  <si>
    <t>팔달구 창룡대로 26번길 19(남수동)</t>
  </si>
  <si>
    <t>매봉공영</t>
  </si>
  <si>
    <t>영통구 동탄원천로 1109번길 61(매탄동)</t>
  </si>
  <si>
    <t>영화동</t>
  </si>
  <si>
    <t>장안구 수성로 382번길 30(영화동)</t>
  </si>
  <si>
    <t>우만공원</t>
  </si>
  <si>
    <t>팔달구 세지로 436(우만동)</t>
  </si>
  <si>
    <t>인계동주택</t>
  </si>
  <si>
    <t>팔달구 세지로 233(인계동)</t>
  </si>
  <si>
    <t>장안동공영</t>
  </si>
  <si>
    <t>팔달구 장안동 51번지 일원</t>
  </si>
  <si>
    <t>연무동공영</t>
  </si>
  <si>
    <t>장안구 경수대로 743번길 57(연무동) 지하1층</t>
  </si>
  <si>
    <t>신동 제1공영</t>
  </si>
  <si>
    <t>영통구 신동 931-5</t>
  </si>
  <si>
    <t>대황교화물</t>
  </si>
  <si>
    <t>화물</t>
  </si>
  <si>
    <t>권선구 정조로 224(대황교동)</t>
  </si>
  <si>
    <t>수원화물공영차고지(고색)</t>
  </si>
  <si>
    <t>권선구 서부로 1390번길 114</t>
  </si>
  <si>
    <t>곡반정동 제2공영</t>
  </si>
  <si>
    <t>노외</t>
  </si>
  <si>
    <t>권선구 곡선로49번길 14-5</t>
  </si>
  <si>
    <t>터미널공영</t>
  </si>
  <si>
    <t>권선구 경수대로 270(권선동)</t>
  </si>
  <si>
    <t>교동공영</t>
  </si>
  <si>
    <t>팔달구 향교로 140(교동)</t>
  </si>
  <si>
    <t>인계공영</t>
  </si>
  <si>
    <t>팔달구 장다리로 306번길 24(인계동)</t>
  </si>
  <si>
    <t>창룡공영</t>
  </si>
  <si>
    <t>팔달구 월드컵로 381번길 2(우만동)</t>
  </si>
  <si>
    <t>백설공영</t>
  </si>
  <si>
    <t>장안구 정자천로133번길 26(정자동)</t>
  </si>
  <si>
    <t>율전공영 율전 제2공영(46면)</t>
  </si>
  <si>
    <t>장안구 서부로 2106번길 27(율전동)</t>
  </si>
  <si>
    <t>화홍문공영</t>
  </si>
  <si>
    <t>장안구 팔달로 280(영화동)</t>
  </si>
  <si>
    <t>광교1동공영</t>
  </si>
  <si>
    <t>영통구 대학1로8번길 33 (이의동)</t>
  </si>
  <si>
    <t>광교대학로공영</t>
  </si>
  <si>
    <t>영통구 대학1로 36 (이의동)</t>
  </si>
  <si>
    <t>광교중앙마을공영</t>
  </si>
  <si>
    <t>영통구 광교중앙로25번길 17 (원천동)</t>
  </si>
  <si>
    <t>카페거리 1공영</t>
  </si>
  <si>
    <t>영통구 센트럴파크로127번길 80-5 (이의동)</t>
  </si>
  <si>
    <t>영통공영</t>
  </si>
  <si>
    <t>영통구 봉영로 1598(영통동)</t>
  </si>
  <si>
    <t>수원역세권1지구</t>
  </si>
  <si>
    <t>권선구 권선로357번길13</t>
  </si>
  <si>
    <t>파장동맛고을</t>
  </si>
  <si>
    <t>장안구 파장천로 115-8 (파장동)</t>
  </si>
  <si>
    <t>곡반정동 제7공영</t>
  </si>
  <si>
    <t>권선구 곡반정로 188 (곡반정동)</t>
  </si>
  <si>
    <t>우만2동공영주차장</t>
  </si>
  <si>
    <t>팔달구 아주로27번길 5 (우만동)</t>
  </si>
  <si>
    <t>화서시장공영</t>
  </si>
  <si>
    <t>팔달구 팔달로119번길 29</t>
  </si>
  <si>
    <t>곡반제8공영</t>
  </si>
  <si>
    <t>권선구 곡반정로 158번길 4</t>
  </si>
  <si>
    <t>망포공영</t>
  </si>
  <si>
    <t>영통구 영통로 200번길 1</t>
  </si>
  <si>
    <t>주차장유형</t>
    <phoneticPr fontId="18" type="noConversion"/>
  </si>
  <si>
    <t>도로명 주소</t>
    <phoneticPr fontId="18" type="noConversion"/>
  </si>
  <si>
    <t>도로명 주소</t>
    <phoneticPr fontId="18" type="noConversion"/>
  </si>
  <si>
    <t>운영 시간</t>
    <phoneticPr fontId="18" type="noConversion"/>
  </si>
  <si>
    <t>주차 요금</t>
    <phoneticPr fontId="18" type="noConversion"/>
  </si>
  <si>
    <t>연중무휴</t>
  </si>
  <si>
    <t>1시간 무료(승용/ 화물)</t>
  </si>
  <si>
    <t>600(1시간 무료)</t>
  </si>
  <si>
    <t>400(1시간 무료)</t>
  </si>
  <si>
    <t>300(1시간 무료)</t>
  </si>
  <si>
    <t>2000(1시간 무료)</t>
  </si>
  <si>
    <t>6～9시간 이내 3000</t>
  </si>
  <si>
    <t>없음</t>
  </si>
  <si>
    <t>승용차 400/2.5~4.5톤 800/4.5톤이상 1200</t>
  </si>
  <si>
    <t>신동공영</t>
  </si>
  <si>
    <t>율천공영율천 제 2공영(46면)</t>
  </si>
  <si>
    <t>영통구 광교호수로 171(하동)</t>
  </si>
  <si>
    <t>장안구 수성로 382번길 24(영화동)</t>
  </si>
  <si>
    <t>장안구 경수대로 743번길 57(연무동)</t>
  </si>
  <si>
    <t>영통구 이의동 1274</t>
  </si>
  <si>
    <t>영통구 이의동 1260-6</t>
  </si>
  <si>
    <t>영통구 원천동 577</t>
  </si>
  <si>
    <t>영통구 이의동 1307-3</t>
  </si>
  <si>
    <t>장안구 파장천로 117</t>
  </si>
  <si>
    <t>주차면수</t>
    <phoneticPr fontId="18" type="noConversion"/>
  </si>
  <si>
    <t>3시간 1000 6시간 2000 9시간 3000</t>
    <phoneticPr fontId="18" type="noConversion"/>
  </si>
  <si>
    <t>승용400 4.5톤 800 4.5톤이상1200</t>
    <phoneticPr fontId="18" type="noConversion"/>
  </si>
  <si>
    <t>월~일</t>
  </si>
  <si>
    <t>권선구</t>
    <phoneticPr fontId="18" type="noConversion"/>
  </si>
  <si>
    <t>영통구</t>
    <phoneticPr fontId="18" type="noConversion"/>
  </si>
  <si>
    <t>장안구</t>
    <phoneticPr fontId="18" type="noConversion"/>
  </si>
  <si>
    <t>팔달구</t>
    <phoneticPr fontId="18" type="noConversion"/>
  </si>
  <si>
    <t>주차장 확보율</t>
    <phoneticPr fontId="18" type="noConversion"/>
  </si>
  <si>
    <t>기준</t>
    <phoneticPr fontId="18" type="noConversion"/>
  </si>
  <si>
    <t>자동차 등록대수(대)</t>
    <phoneticPr fontId="18" type="noConversion"/>
  </si>
  <si>
    <t>주차면수(면)</t>
    <phoneticPr fontId="18" type="noConversion"/>
  </si>
  <si>
    <t>권선구 주차면수</t>
    <phoneticPr fontId="18" type="noConversion"/>
  </si>
  <si>
    <t>영통구 주차면수</t>
    <phoneticPr fontId="18" type="noConversion"/>
  </si>
  <si>
    <t>장안구 주차면수</t>
    <phoneticPr fontId="18" type="noConversion"/>
  </si>
  <si>
    <t>팔달구 주차면수</t>
    <phoneticPr fontId="18" type="noConversion"/>
  </si>
  <si>
    <t>19개</t>
    <phoneticPr fontId="18" type="noConversion"/>
  </si>
  <si>
    <t>18개</t>
    <phoneticPr fontId="18" type="noConversion"/>
  </si>
  <si>
    <t>12개</t>
    <phoneticPr fontId="18" type="noConversion"/>
  </si>
  <si>
    <t>67개</t>
    <phoneticPr fontId="18" type="noConversion"/>
  </si>
  <si>
    <t>2024년 12월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</si>
</sst>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41" fontId="0" fillId="0" borderId="0" xfId="42" applyFont="1">
      <alignment vertical="center"/>
    </xf>
    <xf numFmtId="176" fontId="0" fillId="0" borderId="0" xfId="42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52" zoomScale="83" zoomScaleNormal="83" workbookViewId="0">
      <selection activeCell="H71" sqref="H71"/>
    </sheetView>
  </sheetViews>
  <sheetFormatPr defaultRowHeight="17.399999999999999" x14ac:dyDescent="0.4"/>
  <cols>
    <col min="1" max="1" width="19.69921875" bestFit="1" customWidth="1"/>
    <col min="2" max="2" width="10.3984375" bestFit="1" customWidth="1"/>
    <col min="3" max="3" width="76.8984375" bestFit="1" customWidth="1"/>
    <col min="4" max="4" width="24.69921875" bestFit="1" customWidth="1"/>
    <col min="5" max="5" width="50.09765625" bestFit="1" customWidth="1"/>
    <col min="6" max="6" width="8.59765625" bestFit="1" customWidth="1"/>
  </cols>
  <sheetData>
    <row r="1" spans="1:6" x14ac:dyDescent="0.4">
      <c r="A1" t="s">
        <v>0</v>
      </c>
      <c r="B1" t="s">
        <v>272</v>
      </c>
      <c r="C1" t="s">
        <v>273</v>
      </c>
      <c r="D1" t="s">
        <v>1</v>
      </c>
      <c r="E1" t="s">
        <v>2</v>
      </c>
      <c r="F1" t="s">
        <v>3</v>
      </c>
    </row>
    <row r="2" spans="1:6" x14ac:dyDescent="0.4">
      <c r="A2" t="s">
        <v>85</v>
      </c>
      <c r="B2" t="s">
        <v>86</v>
      </c>
      <c r="C2" t="s">
        <v>4</v>
      </c>
      <c r="D2" t="s">
        <v>5</v>
      </c>
      <c r="E2" t="s">
        <v>6</v>
      </c>
      <c r="F2">
        <v>40</v>
      </c>
    </row>
    <row r="3" spans="1:6" x14ac:dyDescent="0.4">
      <c r="A3" t="s">
        <v>87</v>
      </c>
      <c r="B3" t="s">
        <v>86</v>
      </c>
      <c r="C3" t="s">
        <v>7</v>
      </c>
      <c r="D3" t="s">
        <v>5</v>
      </c>
      <c r="E3" t="s">
        <v>8</v>
      </c>
      <c r="F3">
        <v>204</v>
      </c>
    </row>
    <row r="4" spans="1:6" x14ac:dyDescent="0.4">
      <c r="A4" t="s">
        <v>88</v>
      </c>
      <c r="B4" t="s">
        <v>86</v>
      </c>
      <c r="C4" t="s">
        <v>9</v>
      </c>
      <c r="D4" t="s">
        <v>5</v>
      </c>
      <c r="E4" t="s">
        <v>8</v>
      </c>
      <c r="F4">
        <v>92</v>
      </c>
    </row>
    <row r="5" spans="1:6" x14ac:dyDescent="0.4">
      <c r="A5" t="s">
        <v>89</v>
      </c>
      <c r="B5" t="s">
        <v>86</v>
      </c>
      <c r="C5" t="s">
        <v>10</v>
      </c>
      <c r="D5" t="s">
        <v>5</v>
      </c>
      <c r="E5" t="s">
        <v>8</v>
      </c>
      <c r="F5">
        <v>271</v>
      </c>
    </row>
    <row r="6" spans="1:6" x14ac:dyDescent="0.4">
      <c r="A6" t="s">
        <v>90</v>
      </c>
      <c r="B6" t="s">
        <v>86</v>
      </c>
      <c r="C6" t="s">
        <v>11</v>
      </c>
      <c r="D6" t="s">
        <v>5</v>
      </c>
      <c r="E6" t="s">
        <v>8</v>
      </c>
      <c r="F6">
        <v>35</v>
      </c>
    </row>
    <row r="7" spans="1:6" x14ac:dyDescent="0.4">
      <c r="A7" t="s">
        <v>91</v>
      </c>
      <c r="B7" t="s">
        <v>86</v>
      </c>
      <c r="C7" t="s">
        <v>12</v>
      </c>
      <c r="D7" t="s">
        <v>5</v>
      </c>
      <c r="E7" t="s">
        <v>13</v>
      </c>
      <c r="F7">
        <v>359</v>
      </c>
    </row>
    <row r="8" spans="1:6" x14ac:dyDescent="0.4">
      <c r="A8" t="s">
        <v>92</v>
      </c>
      <c r="B8" t="s">
        <v>86</v>
      </c>
      <c r="C8" t="s">
        <v>14</v>
      </c>
      <c r="D8" t="s">
        <v>5</v>
      </c>
      <c r="E8" t="s">
        <v>8</v>
      </c>
      <c r="F8">
        <v>49</v>
      </c>
    </row>
    <row r="9" spans="1:6" x14ac:dyDescent="0.4">
      <c r="A9" t="s">
        <v>93</v>
      </c>
      <c r="B9" t="s">
        <v>86</v>
      </c>
      <c r="C9" t="s">
        <v>15</v>
      </c>
      <c r="D9" t="s">
        <v>5</v>
      </c>
      <c r="E9" t="s">
        <v>8</v>
      </c>
      <c r="F9">
        <v>33</v>
      </c>
    </row>
    <row r="10" spans="1:6" x14ac:dyDescent="0.4">
      <c r="A10" t="s">
        <v>94</v>
      </c>
      <c r="B10" t="s">
        <v>86</v>
      </c>
      <c r="C10" t="s">
        <v>16</v>
      </c>
      <c r="D10" t="s">
        <v>5</v>
      </c>
      <c r="E10" t="s">
        <v>13</v>
      </c>
      <c r="F10">
        <v>396</v>
      </c>
    </row>
    <row r="11" spans="1:6" x14ac:dyDescent="0.4">
      <c r="A11" t="s">
        <v>95</v>
      </c>
      <c r="B11" t="s">
        <v>86</v>
      </c>
      <c r="C11" t="s">
        <v>17</v>
      </c>
      <c r="D11" t="s">
        <v>18</v>
      </c>
      <c r="E11" t="s">
        <v>8</v>
      </c>
      <c r="F11">
        <v>46</v>
      </c>
    </row>
    <row r="12" spans="1:6" x14ac:dyDescent="0.4">
      <c r="A12" t="s">
        <v>96</v>
      </c>
      <c r="B12" t="s">
        <v>86</v>
      </c>
      <c r="C12" t="s">
        <v>19</v>
      </c>
      <c r="D12" t="s">
        <v>5</v>
      </c>
      <c r="E12" t="s">
        <v>8</v>
      </c>
      <c r="F12">
        <v>64</v>
      </c>
    </row>
    <row r="13" spans="1:6" x14ac:dyDescent="0.4">
      <c r="A13" t="s">
        <v>97</v>
      </c>
      <c r="B13" t="s">
        <v>86</v>
      </c>
      <c r="C13" t="s">
        <v>20</v>
      </c>
      <c r="D13" t="s">
        <v>5</v>
      </c>
      <c r="E13" t="s">
        <v>13</v>
      </c>
      <c r="F13">
        <v>229</v>
      </c>
    </row>
    <row r="14" spans="1:6" x14ac:dyDescent="0.4">
      <c r="A14" t="s">
        <v>99</v>
      </c>
      <c r="B14" t="s">
        <v>98</v>
      </c>
      <c r="C14" t="s">
        <v>21</v>
      </c>
      <c r="D14" t="s">
        <v>22</v>
      </c>
      <c r="E14" t="s">
        <v>8</v>
      </c>
      <c r="F14">
        <v>53</v>
      </c>
    </row>
    <row r="15" spans="1:6" x14ac:dyDescent="0.4">
      <c r="A15" t="s">
        <v>100</v>
      </c>
      <c r="B15" t="s">
        <v>86</v>
      </c>
      <c r="C15" t="s">
        <v>23</v>
      </c>
      <c r="D15" t="s">
        <v>24</v>
      </c>
      <c r="E15" t="s">
        <v>8</v>
      </c>
      <c r="F15">
        <v>246</v>
      </c>
    </row>
    <row r="16" spans="1:6" x14ac:dyDescent="0.4">
      <c r="A16" t="s">
        <v>101</v>
      </c>
      <c r="B16" t="s">
        <v>86</v>
      </c>
      <c r="C16" t="s">
        <v>25</v>
      </c>
      <c r="D16" t="s">
        <v>5</v>
      </c>
      <c r="E16" t="s">
        <v>8</v>
      </c>
      <c r="F16">
        <v>69</v>
      </c>
    </row>
    <row r="17" spans="1:6" x14ac:dyDescent="0.4">
      <c r="A17" t="s">
        <v>102</v>
      </c>
      <c r="B17" t="s">
        <v>98</v>
      </c>
      <c r="C17" t="s">
        <v>26</v>
      </c>
      <c r="D17" t="s">
        <v>5</v>
      </c>
      <c r="E17" t="s">
        <v>8</v>
      </c>
      <c r="F17">
        <v>258</v>
      </c>
    </row>
    <row r="18" spans="1:6" x14ac:dyDescent="0.4">
      <c r="A18" t="s">
        <v>103</v>
      </c>
      <c r="B18" t="s">
        <v>86</v>
      </c>
      <c r="C18" t="s">
        <v>27</v>
      </c>
      <c r="D18" t="s">
        <v>5</v>
      </c>
      <c r="E18" t="s">
        <v>8</v>
      </c>
      <c r="F18">
        <v>66</v>
      </c>
    </row>
    <row r="19" spans="1:6" x14ac:dyDescent="0.4">
      <c r="A19" t="s">
        <v>104</v>
      </c>
      <c r="B19" t="s">
        <v>86</v>
      </c>
      <c r="C19" t="s">
        <v>28</v>
      </c>
      <c r="D19" t="s">
        <v>5</v>
      </c>
      <c r="E19" t="s">
        <v>8</v>
      </c>
      <c r="F19">
        <v>162</v>
      </c>
    </row>
    <row r="20" spans="1:6" x14ac:dyDescent="0.4">
      <c r="A20" t="s">
        <v>105</v>
      </c>
      <c r="B20" t="s">
        <v>86</v>
      </c>
      <c r="C20" t="s">
        <v>29</v>
      </c>
      <c r="D20" t="s">
        <v>5</v>
      </c>
      <c r="E20" t="s">
        <v>8</v>
      </c>
      <c r="F20">
        <v>63</v>
      </c>
    </row>
    <row r="21" spans="1:6" x14ac:dyDescent="0.4">
      <c r="A21" t="s">
        <v>106</v>
      </c>
      <c r="B21" t="s">
        <v>98</v>
      </c>
      <c r="C21" t="s">
        <v>30</v>
      </c>
      <c r="D21" t="s">
        <v>5</v>
      </c>
      <c r="E21" t="s">
        <v>31</v>
      </c>
      <c r="F21">
        <v>748</v>
      </c>
    </row>
    <row r="22" spans="1:6" x14ac:dyDescent="0.4">
      <c r="A22" t="s">
        <v>107</v>
      </c>
      <c r="B22" t="s">
        <v>86</v>
      </c>
      <c r="C22" t="s">
        <v>32</v>
      </c>
      <c r="D22" t="s">
        <v>5</v>
      </c>
      <c r="E22" t="s">
        <v>33</v>
      </c>
      <c r="F22">
        <v>244</v>
      </c>
    </row>
    <row r="23" spans="1:6" x14ac:dyDescent="0.4">
      <c r="A23" t="s">
        <v>108</v>
      </c>
      <c r="B23" t="s">
        <v>86</v>
      </c>
      <c r="C23" t="s">
        <v>34</v>
      </c>
      <c r="D23" t="s">
        <v>5</v>
      </c>
      <c r="E23" t="s">
        <v>13</v>
      </c>
      <c r="F23">
        <v>76</v>
      </c>
    </row>
    <row r="24" spans="1:6" x14ac:dyDescent="0.4">
      <c r="A24" t="s">
        <v>109</v>
      </c>
      <c r="B24" t="s">
        <v>86</v>
      </c>
      <c r="C24" t="s">
        <v>34</v>
      </c>
      <c r="D24" t="s">
        <v>5</v>
      </c>
      <c r="E24" t="s">
        <v>13</v>
      </c>
      <c r="F24">
        <v>61</v>
      </c>
    </row>
    <row r="25" spans="1:6" x14ac:dyDescent="0.4">
      <c r="A25" t="s">
        <v>110</v>
      </c>
      <c r="B25" t="s">
        <v>86</v>
      </c>
      <c r="C25" t="s">
        <v>35</v>
      </c>
      <c r="D25" t="s">
        <v>5</v>
      </c>
      <c r="E25" t="s">
        <v>13</v>
      </c>
      <c r="F25">
        <v>50</v>
      </c>
    </row>
    <row r="26" spans="1:6" x14ac:dyDescent="0.4">
      <c r="A26" t="s">
        <v>111</v>
      </c>
      <c r="B26" t="s">
        <v>86</v>
      </c>
      <c r="C26" t="s">
        <v>36</v>
      </c>
      <c r="D26" t="s">
        <v>5</v>
      </c>
      <c r="E26" t="s">
        <v>13</v>
      </c>
      <c r="F26">
        <v>43</v>
      </c>
    </row>
    <row r="27" spans="1:6" x14ac:dyDescent="0.4">
      <c r="A27" t="s">
        <v>112</v>
      </c>
      <c r="B27" t="s">
        <v>86</v>
      </c>
      <c r="C27" t="s">
        <v>37</v>
      </c>
      <c r="D27" t="s">
        <v>5</v>
      </c>
      <c r="E27" t="s">
        <v>13</v>
      </c>
      <c r="F27">
        <v>104</v>
      </c>
    </row>
    <row r="28" spans="1:6" x14ac:dyDescent="0.4">
      <c r="A28" t="s">
        <v>113</v>
      </c>
      <c r="B28" t="s">
        <v>86</v>
      </c>
      <c r="C28" t="s">
        <v>38</v>
      </c>
      <c r="D28" t="s">
        <v>18</v>
      </c>
      <c r="E28" t="s">
        <v>6</v>
      </c>
      <c r="F28">
        <v>179</v>
      </c>
    </row>
    <row r="29" spans="1:6" x14ac:dyDescent="0.4">
      <c r="A29" t="s">
        <v>114</v>
      </c>
      <c r="B29" t="s">
        <v>86</v>
      </c>
      <c r="C29" t="s">
        <v>39</v>
      </c>
      <c r="D29" t="s">
        <v>5</v>
      </c>
      <c r="E29" t="s">
        <v>8</v>
      </c>
      <c r="F29">
        <v>200</v>
      </c>
    </row>
    <row r="30" spans="1:6" x14ac:dyDescent="0.4">
      <c r="A30" t="s">
        <v>115</v>
      </c>
      <c r="B30" t="s">
        <v>116</v>
      </c>
      <c r="C30" t="s">
        <v>40</v>
      </c>
      <c r="D30" t="s">
        <v>41</v>
      </c>
      <c r="E30" t="s">
        <v>42</v>
      </c>
      <c r="F30">
        <v>60</v>
      </c>
    </row>
    <row r="31" spans="1:6" x14ac:dyDescent="0.4">
      <c r="A31" t="s">
        <v>117</v>
      </c>
      <c r="B31" t="s">
        <v>86</v>
      </c>
      <c r="C31" t="s">
        <v>43</v>
      </c>
      <c r="D31" t="s">
        <v>5</v>
      </c>
      <c r="E31" t="s">
        <v>8</v>
      </c>
      <c r="F31">
        <v>222</v>
      </c>
    </row>
    <row r="32" spans="1:6" x14ac:dyDescent="0.4">
      <c r="A32" t="s">
        <v>118</v>
      </c>
      <c r="B32" t="s">
        <v>86</v>
      </c>
      <c r="C32" t="s">
        <v>44</v>
      </c>
      <c r="D32" t="s">
        <v>5</v>
      </c>
      <c r="E32" t="s">
        <v>8</v>
      </c>
      <c r="F32">
        <v>56</v>
      </c>
    </row>
    <row r="33" spans="1:6" x14ac:dyDescent="0.4">
      <c r="A33" t="s">
        <v>119</v>
      </c>
      <c r="B33" t="s">
        <v>98</v>
      </c>
      <c r="C33" t="s">
        <v>45</v>
      </c>
      <c r="D33" t="s">
        <v>5</v>
      </c>
      <c r="E33" t="s">
        <v>8</v>
      </c>
      <c r="F33">
        <v>65</v>
      </c>
    </row>
    <row r="34" spans="1:6" x14ac:dyDescent="0.4">
      <c r="A34" t="s">
        <v>120</v>
      </c>
      <c r="B34" t="s">
        <v>86</v>
      </c>
      <c r="C34" t="s">
        <v>46</v>
      </c>
      <c r="D34" t="s">
        <v>5</v>
      </c>
      <c r="E34" t="s">
        <v>6</v>
      </c>
      <c r="F34">
        <v>191</v>
      </c>
    </row>
    <row r="35" spans="1:6" x14ac:dyDescent="0.4">
      <c r="A35" t="s">
        <v>121</v>
      </c>
      <c r="B35" t="s">
        <v>86</v>
      </c>
      <c r="C35" t="s">
        <v>47</v>
      </c>
      <c r="D35" t="s">
        <v>5</v>
      </c>
      <c r="E35" t="s">
        <v>8</v>
      </c>
      <c r="F35">
        <v>160</v>
      </c>
    </row>
    <row r="36" spans="1:6" x14ac:dyDescent="0.4">
      <c r="A36" t="s">
        <v>122</v>
      </c>
      <c r="B36" t="s">
        <v>86</v>
      </c>
      <c r="C36" t="s">
        <v>48</v>
      </c>
      <c r="D36" t="s">
        <v>5</v>
      </c>
      <c r="E36" t="s">
        <v>8</v>
      </c>
      <c r="F36">
        <v>136</v>
      </c>
    </row>
    <row r="37" spans="1:6" x14ac:dyDescent="0.4">
      <c r="A37" t="s">
        <v>123</v>
      </c>
      <c r="B37" t="s">
        <v>98</v>
      </c>
      <c r="C37" t="s">
        <v>49</v>
      </c>
      <c r="D37" t="s">
        <v>5</v>
      </c>
      <c r="E37" t="s">
        <v>50</v>
      </c>
      <c r="F37">
        <v>350</v>
      </c>
    </row>
    <row r="38" spans="1:6" x14ac:dyDescent="0.4">
      <c r="A38" t="s">
        <v>124</v>
      </c>
      <c r="B38" t="s">
        <v>98</v>
      </c>
      <c r="C38" t="s">
        <v>49</v>
      </c>
      <c r="D38" t="s">
        <v>5</v>
      </c>
      <c r="E38" t="s">
        <v>50</v>
      </c>
      <c r="F38">
        <v>87</v>
      </c>
    </row>
    <row r="39" spans="1:6" x14ac:dyDescent="0.4">
      <c r="A39" t="s">
        <v>125</v>
      </c>
      <c r="B39" t="s">
        <v>98</v>
      </c>
      <c r="C39" t="s">
        <v>51</v>
      </c>
      <c r="D39" t="s">
        <v>5</v>
      </c>
      <c r="E39" t="s">
        <v>50</v>
      </c>
      <c r="F39">
        <v>241</v>
      </c>
    </row>
    <row r="40" spans="1:6" x14ac:dyDescent="0.4">
      <c r="A40" t="s">
        <v>126</v>
      </c>
      <c r="B40" t="s">
        <v>86</v>
      </c>
      <c r="C40" t="s">
        <v>52</v>
      </c>
      <c r="D40" t="s">
        <v>5</v>
      </c>
      <c r="E40" t="s">
        <v>33</v>
      </c>
      <c r="F40">
        <v>208</v>
      </c>
    </row>
    <row r="41" spans="1:6" x14ac:dyDescent="0.4">
      <c r="A41" t="s">
        <v>127</v>
      </c>
      <c r="B41" t="s">
        <v>86</v>
      </c>
      <c r="C41" t="s">
        <v>53</v>
      </c>
      <c r="D41" t="s">
        <v>5</v>
      </c>
      <c r="E41" t="s">
        <v>13</v>
      </c>
      <c r="F41">
        <v>245</v>
      </c>
    </row>
    <row r="42" spans="1:6" x14ac:dyDescent="0.4">
      <c r="A42" t="s">
        <v>128</v>
      </c>
      <c r="B42" t="s">
        <v>86</v>
      </c>
      <c r="C42" t="s">
        <v>54</v>
      </c>
      <c r="D42" t="s">
        <v>5</v>
      </c>
      <c r="E42" t="s">
        <v>8</v>
      </c>
      <c r="F42">
        <v>62</v>
      </c>
    </row>
    <row r="43" spans="1:6" x14ac:dyDescent="0.4">
      <c r="A43" t="s">
        <v>129</v>
      </c>
      <c r="B43" t="s">
        <v>86</v>
      </c>
      <c r="C43" t="s">
        <v>55</v>
      </c>
      <c r="D43" t="s">
        <v>5</v>
      </c>
      <c r="E43" t="s">
        <v>56</v>
      </c>
      <c r="F43">
        <v>100</v>
      </c>
    </row>
    <row r="44" spans="1:6" x14ac:dyDescent="0.4">
      <c r="A44" t="s">
        <v>130</v>
      </c>
      <c r="B44" t="s">
        <v>86</v>
      </c>
      <c r="C44" t="s">
        <v>57</v>
      </c>
      <c r="D44" t="s">
        <v>5</v>
      </c>
      <c r="E44" t="s">
        <v>8</v>
      </c>
      <c r="F44">
        <v>166</v>
      </c>
    </row>
    <row r="45" spans="1:6" x14ac:dyDescent="0.4">
      <c r="A45" t="s">
        <v>131</v>
      </c>
      <c r="B45" t="s">
        <v>86</v>
      </c>
      <c r="C45" t="s">
        <v>58</v>
      </c>
      <c r="D45" t="s">
        <v>5</v>
      </c>
      <c r="E45" t="s">
        <v>6</v>
      </c>
      <c r="F45">
        <v>305</v>
      </c>
    </row>
    <row r="46" spans="1:6" x14ac:dyDescent="0.4">
      <c r="A46" t="s">
        <v>132</v>
      </c>
      <c r="B46" t="s">
        <v>98</v>
      </c>
      <c r="C46" t="s">
        <v>59</v>
      </c>
      <c r="D46" t="s">
        <v>5</v>
      </c>
      <c r="E46" t="s">
        <v>8</v>
      </c>
      <c r="F46">
        <v>292</v>
      </c>
    </row>
    <row r="47" spans="1:6" x14ac:dyDescent="0.4">
      <c r="A47" t="s">
        <v>133</v>
      </c>
      <c r="B47" t="s">
        <v>116</v>
      </c>
      <c r="C47" t="s">
        <v>60</v>
      </c>
      <c r="D47" t="s">
        <v>61</v>
      </c>
      <c r="E47" t="s">
        <v>62</v>
      </c>
      <c r="F47">
        <v>78</v>
      </c>
    </row>
    <row r="48" spans="1:6" x14ac:dyDescent="0.4">
      <c r="A48" t="s">
        <v>134</v>
      </c>
      <c r="B48" t="s">
        <v>116</v>
      </c>
      <c r="C48" t="s">
        <v>63</v>
      </c>
      <c r="D48" t="s">
        <v>41</v>
      </c>
      <c r="E48" t="s">
        <v>62</v>
      </c>
      <c r="F48">
        <v>95</v>
      </c>
    </row>
    <row r="49" spans="1:6" x14ac:dyDescent="0.4">
      <c r="A49" t="s">
        <v>135</v>
      </c>
      <c r="B49" t="s">
        <v>86</v>
      </c>
      <c r="C49" t="s">
        <v>64</v>
      </c>
      <c r="D49" t="s">
        <v>5</v>
      </c>
      <c r="E49" t="s">
        <v>8</v>
      </c>
      <c r="F49">
        <v>30</v>
      </c>
    </row>
    <row r="50" spans="1:6" x14ac:dyDescent="0.4">
      <c r="A50" t="s">
        <v>136</v>
      </c>
      <c r="B50" t="s">
        <v>86</v>
      </c>
      <c r="C50" t="s">
        <v>64</v>
      </c>
      <c r="D50" t="s">
        <v>5</v>
      </c>
      <c r="E50" t="s">
        <v>8</v>
      </c>
      <c r="F50">
        <v>182</v>
      </c>
    </row>
    <row r="51" spans="1:6" x14ac:dyDescent="0.4">
      <c r="A51" t="s">
        <v>137</v>
      </c>
      <c r="B51" t="s">
        <v>86</v>
      </c>
      <c r="C51" t="s">
        <v>65</v>
      </c>
      <c r="D51" t="s">
        <v>5</v>
      </c>
      <c r="E51" t="s">
        <v>8</v>
      </c>
      <c r="F51">
        <v>173</v>
      </c>
    </row>
    <row r="52" spans="1:6" x14ac:dyDescent="0.4">
      <c r="A52" t="s">
        <v>138</v>
      </c>
      <c r="B52" t="s">
        <v>86</v>
      </c>
      <c r="C52" t="s">
        <v>66</v>
      </c>
      <c r="D52" t="s">
        <v>5</v>
      </c>
      <c r="E52" t="s">
        <v>8</v>
      </c>
      <c r="F52">
        <v>119</v>
      </c>
    </row>
    <row r="53" spans="1:6" x14ac:dyDescent="0.4">
      <c r="A53" t="s">
        <v>139</v>
      </c>
      <c r="B53" t="s">
        <v>86</v>
      </c>
      <c r="C53" t="s">
        <v>67</v>
      </c>
      <c r="D53" t="s">
        <v>5</v>
      </c>
      <c r="E53" t="s">
        <v>8</v>
      </c>
      <c r="F53">
        <v>72</v>
      </c>
    </row>
    <row r="54" spans="1:6" x14ac:dyDescent="0.4">
      <c r="A54" t="s">
        <v>140</v>
      </c>
      <c r="B54" t="s">
        <v>86</v>
      </c>
      <c r="C54" t="s">
        <v>68</v>
      </c>
      <c r="D54" t="s">
        <v>5</v>
      </c>
      <c r="E54" t="s">
        <v>8</v>
      </c>
      <c r="F54">
        <v>46</v>
      </c>
    </row>
    <row r="55" spans="1:6" x14ac:dyDescent="0.4">
      <c r="A55" t="s">
        <v>141</v>
      </c>
      <c r="B55" t="s">
        <v>86</v>
      </c>
      <c r="C55" t="s">
        <v>69</v>
      </c>
      <c r="D55" t="s">
        <v>5</v>
      </c>
      <c r="E55" t="s">
        <v>8</v>
      </c>
      <c r="F55">
        <v>44</v>
      </c>
    </row>
    <row r="56" spans="1:6" x14ac:dyDescent="0.4">
      <c r="A56" t="s">
        <v>142</v>
      </c>
      <c r="B56" t="s">
        <v>86</v>
      </c>
      <c r="C56" t="s">
        <v>70</v>
      </c>
      <c r="D56" t="s">
        <v>5</v>
      </c>
      <c r="E56" t="s">
        <v>8</v>
      </c>
      <c r="F56">
        <v>56</v>
      </c>
    </row>
    <row r="57" spans="1:6" x14ac:dyDescent="0.4">
      <c r="A57" t="s">
        <v>143</v>
      </c>
      <c r="B57" t="s">
        <v>86</v>
      </c>
      <c r="C57" t="s">
        <v>71</v>
      </c>
      <c r="D57" t="s">
        <v>5</v>
      </c>
      <c r="E57" t="s">
        <v>8</v>
      </c>
      <c r="F57">
        <v>80</v>
      </c>
    </row>
    <row r="58" spans="1:6" x14ac:dyDescent="0.4">
      <c r="A58" t="s">
        <v>144</v>
      </c>
      <c r="B58" t="s">
        <v>98</v>
      </c>
      <c r="C58" t="s">
        <v>72</v>
      </c>
      <c r="D58" t="s">
        <v>5</v>
      </c>
      <c r="E58" t="s">
        <v>73</v>
      </c>
      <c r="F58">
        <v>134</v>
      </c>
    </row>
    <row r="59" spans="1:6" x14ac:dyDescent="0.4">
      <c r="A59" t="s">
        <v>145</v>
      </c>
      <c r="B59" t="s">
        <v>116</v>
      </c>
      <c r="C59" t="s">
        <v>74</v>
      </c>
      <c r="D59" t="s">
        <v>75</v>
      </c>
      <c r="E59" t="s">
        <v>42</v>
      </c>
      <c r="F59">
        <v>337</v>
      </c>
    </row>
    <row r="60" spans="1:6" x14ac:dyDescent="0.4">
      <c r="A60" t="s">
        <v>146</v>
      </c>
      <c r="B60" t="s">
        <v>86</v>
      </c>
      <c r="C60" t="s">
        <v>76</v>
      </c>
      <c r="D60" t="s">
        <v>5</v>
      </c>
      <c r="E60" t="s">
        <v>6</v>
      </c>
      <c r="F60">
        <v>138</v>
      </c>
    </row>
    <row r="61" spans="1:6" x14ac:dyDescent="0.4">
      <c r="A61" t="s">
        <v>147</v>
      </c>
      <c r="B61" t="s">
        <v>86</v>
      </c>
      <c r="C61" t="s">
        <v>77</v>
      </c>
      <c r="D61" t="s">
        <v>5</v>
      </c>
      <c r="E61" t="s">
        <v>8</v>
      </c>
      <c r="F61">
        <v>87</v>
      </c>
    </row>
    <row r="62" spans="1:6" x14ac:dyDescent="0.4">
      <c r="A62" t="s">
        <v>148</v>
      </c>
      <c r="B62" t="s">
        <v>86</v>
      </c>
      <c r="C62" t="s">
        <v>78</v>
      </c>
      <c r="D62" t="s">
        <v>5</v>
      </c>
      <c r="E62" t="s">
        <v>8</v>
      </c>
      <c r="F62">
        <v>51</v>
      </c>
    </row>
    <row r="63" spans="1:6" x14ac:dyDescent="0.4">
      <c r="A63" t="s">
        <v>149</v>
      </c>
      <c r="B63" t="s">
        <v>86</v>
      </c>
      <c r="C63" t="s">
        <v>79</v>
      </c>
      <c r="D63" t="s">
        <v>5</v>
      </c>
      <c r="E63" t="s">
        <v>13</v>
      </c>
      <c r="F63">
        <v>70</v>
      </c>
    </row>
    <row r="64" spans="1:6" x14ac:dyDescent="0.4">
      <c r="A64" t="s">
        <v>150</v>
      </c>
      <c r="B64" t="s">
        <v>86</v>
      </c>
      <c r="C64" t="s">
        <v>80</v>
      </c>
      <c r="D64" t="s">
        <v>5</v>
      </c>
      <c r="E64" t="s">
        <v>6</v>
      </c>
      <c r="F64">
        <v>142</v>
      </c>
    </row>
    <row r="65" spans="1:7" x14ac:dyDescent="0.4">
      <c r="A65" t="s">
        <v>151</v>
      </c>
      <c r="B65" t="s">
        <v>86</v>
      </c>
      <c r="C65" t="s">
        <v>81</v>
      </c>
      <c r="D65" t="s">
        <v>5</v>
      </c>
      <c r="E65" t="s">
        <v>6</v>
      </c>
      <c r="F65">
        <v>159</v>
      </c>
    </row>
    <row r="66" spans="1:7" x14ac:dyDescent="0.4">
      <c r="A66" t="s">
        <v>152</v>
      </c>
      <c r="B66" t="s">
        <v>86</v>
      </c>
      <c r="C66" t="s">
        <v>82</v>
      </c>
      <c r="D66" t="s">
        <v>5</v>
      </c>
      <c r="E66" t="s">
        <v>6</v>
      </c>
      <c r="F66">
        <v>290</v>
      </c>
    </row>
    <row r="67" spans="1:7" x14ac:dyDescent="0.4">
      <c r="A67" t="s">
        <v>153</v>
      </c>
      <c r="B67" t="s">
        <v>98</v>
      </c>
      <c r="C67" t="s">
        <v>83</v>
      </c>
      <c r="D67" t="s">
        <v>5</v>
      </c>
      <c r="E67" t="s">
        <v>8</v>
      </c>
      <c r="F67">
        <v>368</v>
      </c>
    </row>
    <row r="68" spans="1:7" x14ac:dyDescent="0.4">
      <c r="A68" t="s">
        <v>154</v>
      </c>
      <c r="B68" t="s">
        <v>86</v>
      </c>
      <c r="C68" t="s">
        <v>84</v>
      </c>
      <c r="D68" t="s">
        <v>5</v>
      </c>
      <c r="E68" t="s">
        <v>8</v>
      </c>
      <c r="F68">
        <v>497</v>
      </c>
    </row>
    <row r="70" spans="1:7" x14ac:dyDescent="0.4">
      <c r="E70" t="s">
        <v>308</v>
      </c>
      <c r="F70">
        <f>SUM(F3,F4,F5,F16,F17,F18,F21,F22,F36,F40,F43,F62)</f>
        <v>2447</v>
      </c>
      <c r="G70" t="s">
        <v>314</v>
      </c>
    </row>
    <row r="71" spans="1:7" x14ac:dyDescent="0.4">
      <c r="E71" t="s">
        <v>309</v>
      </c>
      <c r="F71">
        <f>SUM(F6,F8,F9,F10,F11,F12,F13,F14,F28,F29,F30,F31,F41,F42,F45,F46,F47,F48)</f>
        <v>2643</v>
      </c>
      <c r="G71" t="s">
        <v>313</v>
      </c>
    </row>
    <row r="72" spans="1:7" x14ac:dyDescent="0.4">
      <c r="E72" t="s">
        <v>310</v>
      </c>
      <c r="F72">
        <f>SUM(F7,F23,F24,F25,F26,F27,F32,F34,F35,F44,F49,F50,F53,F54,F55,F58,F63,F68)</f>
        <v>2341</v>
      </c>
      <c r="G72" t="s">
        <v>313</v>
      </c>
    </row>
    <row r="73" spans="1:7" x14ac:dyDescent="0.4">
      <c r="E73" t="s">
        <v>311</v>
      </c>
      <c r="F73">
        <f>SUM(F2,F15,F19,F20,F33,F37,F38,F39,F51,F52,F56,F57,F59,F60,F61,F64,F65,F67,F66)</f>
        <v>3203</v>
      </c>
      <c r="G73" t="s">
        <v>312</v>
      </c>
    </row>
    <row r="74" spans="1:7" x14ac:dyDescent="0.4">
      <c r="G74" t="s">
        <v>315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B4B5-5909-45D9-9869-3545A9E73D69}">
  <dimension ref="A1:F58"/>
  <sheetViews>
    <sheetView topLeftCell="A40" workbookViewId="0">
      <selection activeCell="A56" sqref="A56:XFD56"/>
    </sheetView>
  </sheetViews>
  <sheetFormatPr defaultRowHeight="17.399999999999999" x14ac:dyDescent="0.4"/>
  <cols>
    <col min="1" max="1" width="25.8984375" bestFit="1" customWidth="1"/>
    <col min="2" max="2" width="10.3984375" bestFit="1" customWidth="1"/>
    <col min="3" max="3" width="40.19921875" bestFit="1" customWidth="1"/>
    <col min="4" max="4" width="9.19921875" bestFit="1" customWidth="1"/>
    <col min="5" max="5" width="38" bestFit="1" customWidth="1"/>
    <col min="6" max="6" width="9.19921875" bestFit="1" customWidth="1"/>
  </cols>
  <sheetData>
    <row r="1" spans="1:6" x14ac:dyDescent="0.4">
      <c r="A1" t="s">
        <v>0</v>
      </c>
      <c r="B1" t="s">
        <v>155</v>
      </c>
      <c r="C1" t="s">
        <v>274</v>
      </c>
      <c r="D1" t="s">
        <v>275</v>
      </c>
      <c r="E1" t="s">
        <v>276</v>
      </c>
      <c r="F1" t="s">
        <v>296</v>
      </c>
    </row>
    <row r="2" spans="1:6" x14ac:dyDescent="0.4">
      <c r="A2" t="s">
        <v>231</v>
      </c>
      <c r="B2" t="s">
        <v>232</v>
      </c>
      <c r="C2" t="s">
        <v>233</v>
      </c>
      <c r="D2" t="s">
        <v>277</v>
      </c>
      <c r="E2">
        <v>600</v>
      </c>
      <c r="F2">
        <v>204</v>
      </c>
    </row>
    <row r="3" spans="1:6" x14ac:dyDescent="0.4">
      <c r="A3" t="s">
        <v>262</v>
      </c>
      <c r="B3" t="s">
        <v>232</v>
      </c>
      <c r="C3" t="s">
        <v>263</v>
      </c>
      <c r="D3" t="s">
        <v>277</v>
      </c>
      <c r="E3">
        <v>600</v>
      </c>
      <c r="F3">
        <v>92</v>
      </c>
    </row>
    <row r="4" spans="1:6" x14ac:dyDescent="0.4">
      <c r="A4" t="s">
        <v>268</v>
      </c>
      <c r="B4" t="s">
        <v>232</v>
      </c>
      <c r="C4" t="s">
        <v>269</v>
      </c>
      <c r="D4" t="s">
        <v>277</v>
      </c>
      <c r="E4">
        <v>600</v>
      </c>
      <c r="F4">
        <v>271</v>
      </c>
    </row>
    <row r="5" spans="1:6" x14ac:dyDescent="0.4">
      <c r="A5" t="s">
        <v>248</v>
      </c>
      <c r="B5" t="s">
        <v>232</v>
      </c>
      <c r="C5" t="s">
        <v>249</v>
      </c>
      <c r="D5" t="s">
        <v>277</v>
      </c>
      <c r="E5">
        <v>600</v>
      </c>
      <c r="F5">
        <v>35</v>
      </c>
    </row>
    <row r="6" spans="1:6" x14ac:dyDescent="0.4">
      <c r="A6" t="s">
        <v>189</v>
      </c>
      <c r="B6" t="s">
        <v>190</v>
      </c>
      <c r="C6" t="s">
        <v>191</v>
      </c>
      <c r="D6" t="s">
        <v>277</v>
      </c>
      <c r="E6" t="s">
        <v>284</v>
      </c>
      <c r="F6">
        <v>359</v>
      </c>
    </row>
    <row r="7" spans="1:6" x14ac:dyDescent="0.4">
      <c r="A7" t="s">
        <v>250</v>
      </c>
      <c r="B7" t="s">
        <v>232</v>
      </c>
      <c r="C7" t="s">
        <v>251</v>
      </c>
      <c r="D7" t="s">
        <v>277</v>
      </c>
      <c r="E7">
        <v>600</v>
      </c>
      <c r="F7">
        <v>49</v>
      </c>
    </row>
    <row r="8" spans="1:6" x14ac:dyDescent="0.4">
      <c r="A8" t="s">
        <v>252</v>
      </c>
      <c r="B8" t="s">
        <v>232</v>
      </c>
      <c r="C8" t="s">
        <v>253</v>
      </c>
      <c r="D8" t="s">
        <v>277</v>
      </c>
      <c r="E8">
        <v>600</v>
      </c>
      <c r="F8">
        <v>46</v>
      </c>
    </row>
    <row r="9" spans="1:6" x14ac:dyDescent="0.4">
      <c r="A9" t="s">
        <v>174</v>
      </c>
      <c r="B9" t="s">
        <v>157</v>
      </c>
      <c r="C9" t="s">
        <v>175</v>
      </c>
      <c r="D9" t="s">
        <v>277</v>
      </c>
      <c r="E9" t="s">
        <v>279</v>
      </c>
      <c r="F9">
        <v>53</v>
      </c>
    </row>
    <row r="10" spans="1:6" x14ac:dyDescent="0.4">
      <c r="A10" t="s">
        <v>236</v>
      </c>
      <c r="B10" t="s">
        <v>232</v>
      </c>
      <c r="C10" t="s">
        <v>237</v>
      </c>
      <c r="D10" t="s">
        <v>277</v>
      </c>
      <c r="E10">
        <v>600</v>
      </c>
      <c r="F10">
        <v>246</v>
      </c>
    </row>
    <row r="11" spans="1:6" x14ac:dyDescent="0.4">
      <c r="A11" t="s">
        <v>172</v>
      </c>
      <c r="B11" t="s">
        <v>157</v>
      </c>
      <c r="C11" t="s">
        <v>173</v>
      </c>
      <c r="D11" t="s">
        <v>277</v>
      </c>
      <c r="E11" t="s">
        <v>281</v>
      </c>
      <c r="F11">
        <v>258</v>
      </c>
    </row>
    <row r="12" spans="1:6" x14ac:dyDescent="0.4">
      <c r="A12" t="s">
        <v>207</v>
      </c>
      <c r="B12" t="s">
        <v>208</v>
      </c>
      <c r="C12" t="s">
        <v>209</v>
      </c>
      <c r="D12" t="s">
        <v>277</v>
      </c>
      <c r="E12">
        <v>400</v>
      </c>
      <c r="F12">
        <v>66</v>
      </c>
    </row>
    <row r="13" spans="1:6" x14ac:dyDescent="0.4">
      <c r="A13" t="s">
        <v>178</v>
      </c>
      <c r="B13" t="s">
        <v>179</v>
      </c>
      <c r="C13" t="s">
        <v>180</v>
      </c>
      <c r="D13" t="s">
        <v>277</v>
      </c>
      <c r="E13" t="s">
        <v>283</v>
      </c>
      <c r="F13">
        <v>162</v>
      </c>
    </row>
    <row r="14" spans="1:6" x14ac:dyDescent="0.4">
      <c r="A14" t="s">
        <v>210</v>
      </c>
      <c r="B14" t="s">
        <v>208</v>
      </c>
      <c r="C14" t="s">
        <v>211</v>
      </c>
      <c r="D14" t="s">
        <v>277</v>
      </c>
      <c r="E14">
        <v>400</v>
      </c>
      <c r="F14">
        <v>63</v>
      </c>
    </row>
    <row r="15" spans="1:6" x14ac:dyDescent="0.4">
      <c r="A15" t="s">
        <v>156</v>
      </c>
      <c r="B15" t="s">
        <v>157</v>
      </c>
      <c r="C15" t="s">
        <v>158</v>
      </c>
      <c r="D15" t="s">
        <v>277</v>
      </c>
      <c r="E15" t="s">
        <v>278</v>
      </c>
      <c r="F15">
        <v>748</v>
      </c>
    </row>
    <row r="16" spans="1:6" x14ac:dyDescent="0.4">
      <c r="A16" t="s">
        <v>226</v>
      </c>
      <c r="B16" t="s">
        <v>227</v>
      </c>
      <c r="C16" t="s">
        <v>228</v>
      </c>
      <c r="D16" t="s">
        <v>277</v>
      </c>
      <c r="E16" t="s">
        <v>285</v>
      </c>
      <c r="F16">
        <v>244</v>
      </c>
    </row>
    <row r="17" spans="1:6" x14ac:dyDescent="0.4">
      <c r="A17" t="s">
        <v>194</v>
      </c>
      <c r="B17" t="s">
        <v>190</v>
      </c>
      <c r="C17" t="s">
        <v>195</v>
      </c>
      <c r="D17" t="s">
        <v>277</v>
      </c>
      <c r="E17" t="s">
        <v>284</v>
      </c>
      <c r="F17">
        <v>76</v>
      </c>
    </row>
    <row r="18" spans="1:6" x14ac:dyDescent="0.4">
      <c r="A18" t="s">
        <v>196</v>
      </c>
      <c r="B18" t="s">
        <v>190</v>
      </c>
      <c r="C18" t="s">
        <v>195</v>
      </c>
      <c r="D18" t="s">
        <v>277</v>
      </c>
      <c r="E18" t="s">
        <v>284</v>
      </c>
      <c r="F18">
        <v>61</v>
      </c>
    </row>
    <row r="19" spans="1:6" x14ac:dyDescent="0.4">
      <c r="A19" t="s">
        <v>197</v>
      </c>
      <c r="B19" t="s">
        <v>190</v>
      </c>
      <c r="C19" t="s">
        <v>195</v>
      </c>
      <c r="D19" t="s">
        <v>277</v>
      </c>
      <c r="E19" t="s">
        <v>284</v>
      </c>
      <c r="F19">
        <v>50</v>
      </c>
    </row>
    <row r="20" spans="1:6" x14ac:dyDescent="0.4">
      <c r="A20" t="s">
        <v>198</v>
      </c>
      <c r="B20" t="s">
        <v>190</v>
      </c>
      <c r="C20" t="s">
        <v>195</v>
      </c>
      <c r="D20" t="s">
        <v>277</v>
      </c>
      <c r="E20" t="s">
        <v>284</v>
      </c>
      <c r="F20">
        <v>43</v>
      </c>
    </row>
    <row r="21" spans="1:6" x14ac:dyDescent="0.4">
      <c r="A21" t="s">
        <v>192</v>
      </c>
      <c r="B21" t="s">
        <v>190</v>
      </c>
      <c r="C21" t="s">
        <v>193</v>
      </c>
      <c r="D21" t="s">
        <v>277</v>
      </c>
      <c r="E21" t="s">
        <v>284</v>
      </c>
      <c r="F21">
        <v>104</v>
      </c>
    </row>
    <row r="22" spans="1:6" x14ac:dyDescent="0.4">
      <c r="A22" t="s">
        <v>270</v>
      </c>
      <c r="B22" t="s">
        <v>232</v>
      </c>
      <c r="C22" t="s">
        <v>271</v>
      </c>
      <c r="D22" t="s">
        <v>277</v>
      </c>
      <c r="E22">
        <v>900</v>
      </c>
      <c r="F22">
        <v>179</v>
      </c>
    </row>
    <row r="23" spans="1:6" x14ac:dyDescent="0.4">
      <c r="A23" t="s">
        <v>212</v>
      </c>
      <c r="B23" t="s">
        <v>208</v>
      </c>
      <c r="C23" t="s">
        <v>213</v>
      </c>
      <c r="D23" t="s">
        <v>277</v>
      </c>
      <c r="E23">
        <v>400</v>
      </c>
      <c r="F23">
        <v>200</v>
      </c>
    </row>
    <row r="24" spans="1:6" x14ac:dyDescent="0.4">
      <c r="A24" t="s">
        <v>199</v>
      </c>
      <c r="B24" t="s">
        <v>190</v>
      </c>
      <c r="C24" t="s">
        <v>200</v>
      </c>
      <c r="D24" t="s">
        <v>277</v>
      </c>
      <c r="E24" t="s">
        <v>284</v>
      </c>
      <c r="F24">
        <v>222</v>
      </c>
    </row>
    <row r="25" spans="1:6" x14ac:dyDescent="0.4">
      <c r="A25" t="s">
        <v>242</v>
      </c>
      <c r="B25" t="s">
        <v>232</v>
      </c>
      <c r="C25" t="s">
        <v>243</v>
      </c>
      <c r="D25" t="s">
        <v>277</v>
      </c>
      <c r="E25">
        <v>600</v>
      </c>
      <c r="F25">
        <v>56</v>
      </c>
    </row>
    <row r="26" spans="1:6" x14ac:dyDescent="0.4">
      <c r="A26" t="s">
        <v>159</v>
      </c>
      <c r="B26" t="s">
        <v>157</v>
      </c>
      <c r="C26" t="s">
        <v>160</v>
      </c>
      <c r="D26" t="s">
        <v>277</v>
      </c>
      <c r="E26" t="s">
        <v>279</v>
      </c>
      <c r="F26">
        <v>65</v>
      </c>
    </row>
    <row r="27" spans="1:6" x14ac:dyDescent="0.4">
      <c r="A27" t="s">
        <v>183</v>
      </c>
      <c r="B27" t="s">
        <v>179</v>
      </c>
      <c r="C27" t="s">
        <v>184</v>
      </c>
      <c r="D27" t="s">
        <v>277</v>
      </c>
      <c r="E27">
        <v>500</v>
      </c>
      <c r="F27">
        <v>191</v>
      </c>
    </row>
    <row r="28" spans="1:6" x14ac:dyDescent="0.4">
      <c r="A28" t="s">
        <v>181</v>
      </c>
      <c r="B28" t="s">
        <v>179</v>
      </c>
      <c r="C28" t="s">
        <v>182</v>
      </c>
      <c r="D28" t="s">
        <v>277</v>
      </c>
      <c r="E28">
        <v>300</v>
      </c>
      <c r="F28">
        <v>160</v>
      </c>
    </row>
    <row r="29" spans="1:6" x14ac:dyDescent="0.4">
      <c r="A29" t="s">
        <v>185</v>
      </c>
      <c r="B29" t="s">
        <v>179</v>
      </c>
      <c r="C29" t="s">
        <v>186</v>
      </c>
      <c r="D29" t="s">
        <v>277</v>
      </c>
      <c r="E29">
        <v>300</v>
      </c>
      <c r="F29">
        <v>136</v>
      </c>
    </row>
    <row r="30" spans="1:6" x14ac:dyDescent="0.4">
      <c r="A30" t="s">
        <v>258</v>
      </c>
      <c r="B30" t="s">
        <v>232</v>
      </c>
      <c r="C30" t="s">
        <v>259</v>
      </c>
      <c r="D30" t="s">
        <v>277</v>
      </c>
      <c r="E30">
        <v>900</v>
      </c>
      <c r="F30">
        <v>100</v>
      </c>
    </row>
    <row r="31" spans="1:6" x14ac:dyDescent="0.4">
      <c r="A31" t="s">
        <v>229</v>
      </c>
      <c r="B31" t="s">
        <v>227</v>
      </c>
      <c r="C31" t="s">
        <v>230</v>
      </c>
      <c r="D31" t="s">
        <v>277</v>
      </c>
      <c r="E31" t="s">
        <v>285</v>
      </c>
      <c r="F31">
        <v>208</v>
      </c>
    </row>
    <row r="32" spans="1:6" x14ac:dyDescent="0.4">
      <c r="A32" t="s">
        <v>163</v>
      </c>
      <c r="B32" t="s">
        <v>157</v>
      </c>
      <c r="C32" t="s">
        <v>164</v>
      </c>
      <c r="D32" t="s">
        <v>277</v>
      </c>
      <c r="E32" t="s">
        <v>280</v>
      </c>
      <c r="F32">
        <v>241</v>
      </c>
    </row>
    <row r="33" spans="1:6" x14ac:dyDescent="0.4">
      <c r="A33" t="s">
        <v>165</v>
      </c>
      <c r="B33" t="s">
        <v>157</v>
      </c>
      <c r="C33" t="s">
        <v>166</v>
      </c>
      <c r="D33" t="s">
        <v>277</v>
      </c>
      <c r="E33" t="s">
        <v>280</v>
      </c>
      <c r="F33">
        <v>350</v>
      </c>
    </row>
    <row r="34" spans="1:6" x14ac:dyDescent="0.4">
      <c r="A34" t="s">
        <v>167</v>
      </c>
      <c r="B34" t="s">
        <v>157</v>
      </c>
      <c r="C34" t="s">
        <v>166</v>
      </c>
      <c r="D34" t="s">
        <v>277</v>
      </c>
      <c r="E34" t="s">
        <v>280</v>
      </c>
      <c r="F34">
        <v>87</v>
      </c>
    </row>
    <row r="35" spans="1:6" x14ac:dyDescent="0.4">
      <c r="A35" t="s">
        <v>201</v>
      </c>
      <c r="B35" t="s">
        <v>190</v>
      </c>
      <c r="C35" t="s">
        <v>202</v>
      </c>
      <c r="D35" t="s">
        <v>277</v>
      </c>
      <c r="E35" t="s">
        <v>284</v>
      </c>
      <c r="F35">
        <v>245</v>
      </c>
    </row>
    <row r="36" spans="1:6" x14ac:dyDescent="0.4">
      <c r="A36" t="s">
        <v>224</v>
      </c>
      <c r="B36" t="s">
        <v>208</v>
      </c>
      <c r="C36" t="s">
        <v>225</v>
      </c>
      <c r="D36" t="s">
        <v>277</v>
      </c>
      <c r="E36">
        <v>400</v>
      </c>
      <c r="F36">
        <v>62</v>
      </c>
    </row>
    <row r="37" spans="1:6" x14ac:dyDescent="0.4">
      <c r="A37" t="s">
        <v>222</v>
      </c>
      <c r="B37" t="s">
        <v>208</v>
      </c>
      <c r="C37" t="s">
        <v>223</v>
      </c>
      <c r="D37" t="s">
        <v>277</v>
      </c>
      <c r="E37">
        <v>400</v>
      </c>
      <c r="F37">
        <v>166</v>
      </c>
    </row>
    <row r="38" spans="1:6" x14ac:dyDescent="0.4">
      <c r="A38" t="s">
        <v>256</v>
      </c>
      <c r="B38" t="s">
        <v>232</v>
      </c>
      <c r="C38" t="s">
        <v>257</v>
      </c>
      <c r="D38" t="s">
        <v>277</v>
      </c>
      <c r="E38">
        <v>900</v>
      </c>
      <c r="F38">
        <v>305</v>
      </c>
    </row>
    <row r="39" spans="1:6" x14ac:dyDescent="0.4">
      <c r="A39" t="s">
        <v>168</v>
      </c>
      <c r="B39" t="s">
        <v>157</v>
      </c>
      <c r="C39" t="s">
        <v>169</v>
      </c>
      <c r="D39" t="s">
        <v>277</v>
      </c>
      <c r="E39" t="s">
        <v>281</v>
      </c>
      <c r="F39">
        <v>292</v>
      </c>
    </row>
    <row r="40" spans="1:6" x14ac:dyDescent="0.4">
      <c r="A40" t="s">
        <v>161</v>
      </c>
      <c r="B40" t="s">
        <v>157</v>
      </c>
      <c r="C40" t="s">
        <v>162</v>
      </c>
      <c r="D40" t="s">
        <v>277</v>
      </c>
      <c r="E40" t="s">
        <v>280</v>
      </c>
      <c r="F40">
        <v>79</v>
      </c>
    </row>
    <row r="41" spans="1:6" x14ac:dyDescent="0.4">
      <c r="A41" t="s">
        <v>214</v>
      </c>
      <c r="B41" t="s">
        <v>208</v>
      </c>
      <c r="C41" t="s">
        <v>215</v>
      </c>
      <c r="D41" t="s">
        <v>277</v>
      </c>
      <c r="E41">
        <v>400</v>
      </c>
      <c r="F41">
        <v>212</v>
      </c>
    </row>
    <row r="42" spans="1:6" x14ac:dyDescent="0.4">
      <c r="A42" t="s">
        <v>264</v>
      </c>
      <c r="B42" t="s">
        <v>232</v>
      </c>
      <c r="C42" t="s">
        <v>265</v>
      </c>
      <c r="D42" t="s">
        <v>277</v>
      </c>
      <c r="E42">
        <v>600</v>
      </c>
      <c r="F42">
        <v>173</v>
      </c>
    </row>
    <row r="43" spans="1:6" x14ac:dyDescent="0.4">
      <c r="A43" t="s">
        <v>216</v>
      </c>
      <c r="B43" t="s">
        <v>208</v>
      </c>
      <c r="C43" t="s">
        <v>217</v>
      </c>
      <c r="D43" t="s">
        <v>277</v>
      </c>
      <c r="E43">
        <v>400</v>
      </c>
      <c r="F43">
        <v>119</v>
      </c>
    </row>
    <row r="44" spans="1:6" x14ac:dyDescent="0.4">
      <c r="A44" t="s">
        <v>203</v>
      </c>
      <c r="B44" t="s">
        <v>190</v>
      </c>
      <c r="C44" t="s">
        <v>204</v>
      </c>
      <c r="D44" t="s">
        <v>277</v>
      </c>
      <c r="E44" t="s">
        <v>284</v>
      </c>
      <c r="F44">
        <v>396</v>
      </c>
    </row>
    <row r="45" spans="1:6" x14ac:dyDescent="0.4">
      <c r="A45" t="s">
        <v>244</v>
      </c>
      <c r="B45" t="s">
        <v>232</v>
      </c>
      <c r="C45" t="s">
        <v>245</v>
      </c>
      <c r="D45" t="s">
        <v>277</v>
      </c>
      <c r="E45">
        <v>600</v>
      </c>
      <c r="F45">
        <v>46</v>
      </c>
    </row>
    <row r="46" spans="1:6" x14ac:dyDescent="0.4">
      <c r="A46" t="s">
        <v>238</v>
      </c>
      <c r="B46" t="s">
        <v>232</v>
      </c>
      <c r="C46" t="s">
        <v>239</v>
      </c>
      <c r="D46" t="s">
        <v>277</v>
      </c>
      <c r="E46">
        <v>600</v>
      </c>
      <c r="F46">
        <v>56</v>
      </c>
    </row>
    <row r="47" spans="1:6" x14ac:dyDescent="0.4">
      <c r="A47" t="s">
        <v>218</v>
      </c>
      <c r="B47" t="s">
        <v>208</v>
      </c>
      <c r="C47" t="s">
        <v>219</v>
      </c>
      <c r="D47" t="s">
        <v>277</v>
      </c>
      <c r="E47">
        <v>400</v>
      </c>
      <c r="F47">
        <v>80</v>
      </c>
    </row>
    <row r="48" spans="1:6" x14ac:dyDescent="0.4">
      <c r="A48" t="s">
        <v>176</v>
      </c>
      <c r="B48" t="s">
        <v>157</v>
      </c>
      <c r="C48" t="s">
        <v>177</v>
      </c>
      <c r="D48" t="s">
        <v>277</v>
      </c>
      <c r="E48" t="s">
        <v>282</v>
      </c>
      <c r="F48">
        <v>134</v>
      </c>
    </row>
    <row r="49" spans="1:6" x14ac:dyDescent="0.4">
      <c r="A49" t="s">
        <v>220</v>
      </c>
      <c r="B49" t="s">
        <v>208</v>
      </c>
      <c r="C49" t="s">
        <v>221</v>
      </c>
      <c r="D49" t="s">
        <v>277</v>
      </c>
      <c r="E49">
        <v>600</v>
      </c>
      <c r="F49">
        <v>138</v>
      </c>
    </row>
    <row r="50" spans="1:6" x14ac:dyDescent="0.4">
      <c r="A50" t="s">
        <v>240</v>
      </c>
      <c r="B50" t="s">
        <v>232</v>
      </c>
      <c r="C50" t="s">
        <v>241</v>
      </c>
      <c r="D50" t="s">
        <v>277</v>
      </c>
      <c r="E50">
        <v>600</v>
      </c>
      <c r="F50">
        <v>87</v>
      </c>
    </row>
    <row r="51" spans="1:6" x14ac:dyDescent="0.4">
      <c r="A51" t="s">
        <v>254</v>
      </c>
      <c r="B51" t="s">
        <v>232</v>
      </c>
      <c r="C51" t="s">
        <v>255</v>
      </c>
      <c r="D51" t="s">
        <v>277</v>
      </c>
      <c r="E51">
        <v>600</v>
      </c>
      <c r="F51">
        <v>64</v>
      </c>
    </row>
    <row r="52" spans="1:6" x14ac:dyDescent="0.4">
      <c r="A52" t="s">
        <v>234</v>
      </c>
      <c r="B52" t="s">
        <v>232</v>
      </c>
      <c r="C52" t="s">
        <v>235</v>
      </c>
      <c r="D52" t="s">
        <v>277</v>
      </c>
      <c r="E52">
        <v>600</v>
      </c>
      <c r="F52">
        <v>51</v>
      </c>
    </row>
    <row r="53" spans="1:6" x14ac:dyDescent="0.4">
      <c r="A53" t="s">
        <v>260</v>
      </c>
      <c r="B53" t="s">
        <v>232</v>
      </c>
      <c r="C53" t="s">
        <v>261</v>
      </c>
      <c r="D53" t="s">
        <v>277</v>
      </c>
      <c r="E53">
        <v>600</v>
      </c>
      <c r="F53">
        <v>70</v>
      </c>
    </row>
    <row r="54" spans="1:6" x14ac:dyDescent="0.4">
      <c r="A54" t="s">
        <v>205</v>
      </c>
      <c r="B54" t="s">
        <v>190</v>
      </c>
      <c r="C54" t="s">
        <v>206</v>
      </c>
      <c r="D54" t="s">
        <v>277</v>
      </c>
      <c r="E54" t="s">
        <v>284</v>
      </c>
      <c r="F54">
        <v>229</v>
      </c>
    </row>
    <row r="55" spans="1:6" x14ac:dyDescent="0.4">
      <c r="A55" t="s">
        <v>266</v>
      </c>
      <c r="B55" t="s">
        <v>232</v>
      </c>
      <c r="C55" t="s">
        <v>267</v>
      </c>
      <c r="D55" t="s">
        <v>277</v>
      </c>
      <c r="E55">
        <v>900</v>
      </c>
      <c r="F55">
        <v>159</v>
      </c>
    </row>
    <row r="56" spans="1:6" x14ac:dyDescent="0.4">
      <c r="A56" t="s">
        <v>187</v>
      </c>
      <c r="B56" t="s">
        <v>179</v>
      </c>
      <c r="C56" t="s">
        <v>188</v>
      </c>
      <c r="D56" t="s">
        <v>277</v>
      </c>
      <c r="E56">
        <v>500</v>
      </c>
      <c r="F56">
        <v>290</v>
      </c>
    </row>
    <row r="57" spans="1:6" x14ac:dyDescent="0.4">
      <c r="A57" t="s">
        <v>170</v>
      </c>
      <c r="B57" t="s">
        <v>157</v>
      </c>
      <c r="C57" t="s">
        <v>171</v>
      </c>
      <c r="D57" t="s">
        <v>277</v>
      </c>
      <c r="E57" t="s">
        <v>281</v>
      </c>
      <c r="F57">
        <v>368</v>
      </c>
    </row>
    <row r="58" spans="1:6" x14ac:dyDescent="0.4">
      <c r="A58" t="s">
        <v>246</v>
      </c>
      <c r="B58" t="s">
        <v>232</v>
      </c>
      <c r="C58" t="s">
        <v>247</v>
      </c>
      <c r="D58" t="s">
        <v>277</v>
      </c>
      <c r="E58">
        <v>600</v>
      </c>
      <c r="F58">
        <v>497</v>
      </c>
    </row>
  </sheetData>
  <sortState ref="A2:E58">
    <sortCondition ref="A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E919-D7D1-474F-8118-51F8450912C6}">
  <dimension ref="A1:F53"/>
  <sheetViews>
    <sheetView workbookViewId="0">
      <selection activeCell="F54" sqref="F54"/>
    </sheetView>
  </sheetViews>
  <sheetFormatPr defaultRowHeight="17.399999999999999" x14ac:dyDescent="0.4"/>
  <cols>
    <col min="1" max="1" width="25.8984375" bestFit="1" customWidth="1"/>
    <col min="2" max="2" width="10.3984375" bestFit="1" customWidth="1"/>
    <col min="3" max="3" width="35.69921875" bestFit="1" customWidth="1"/>
    <col min="4" max="4" width="9.19921875" bestFit="1" customWidth="1"/>
    <col min="5" max="5" width="32" bestFit="1" customWidth="1"/>
  </cols>
  <sheetData>
    <row r="1" spans="1:6" x14ac:dyDescent="0.4">
      <c r="A1" t="s">
        <v>0</v>
      </c>
      <c r="B1" t="s">
        <v>155</v>
      </c>
      <c r="C1" t="s">
        <v>274</v>
      </c>
      <c r="D1" t="s">
        <v>275</v>
      </c>
      <c r="E1" t="s">
        <v>276</v>
      </c>
      <c r="F1" t="s">
        <v>296</v>
      </c>
    </row>
    <row r="2" spans="1:6" x14ac:dyDescent="0.4">
      <c r="A2" t="s">
        <v>231</v>
      </c>
      <c r="B2" t="s">
        <v>232</v>
      </c>
      <c r="C2" t="s">
        <v>233</v>
      </c>
      <c r="D2" t="s">
        <v>299</v>
      </c>
      <c r="E2" s="1">
        <v>600</v>
      </c>
      <c r="F2">
        <v>204</v>
      </c>
    </row>
    <row r="3" spans="1:6" x14ac:dyDescent="0.4">
      <c r="A3" t="s">
        <v>248</v>
      </c>
      <c r="B3" t="s">
        <v>232</v>
      </c>
      <c r="C3" t="s">
        <v>291</v>
      </c>
      <c r="D3" t="s">
        <v>299</v>
      </c>
      <c r="E3" s="1">
        <v>600</v>
      </c>
      <c r="F3">
        <v>35</v>
      </c>
    </row>
    <row r="4" spans="1:6" x14ac:dyDescent="0.4">
      <c r="A4" t="s">
        <v>189</v>
      </c>
      <c r="B4" t="s">
        <v>190</v>
      </c>
      <c r="C4" t="s">
        <v>191</v>
      </c>
      <c r="D4" t="s">
        <v>299</v>
      </c>
      <c r="E4" s="1" t="s">
        <v>297</v>
      </c>
      <c r="F4">
        <v>359</v>
      </c>
    </row>
    <row r="5" spans="1:6" x14ac:dyDescent="0.4">
      <c r="A5" t="s">
        <v>250</v>
      </c>
      <c r="B5" t="s">
        <v>232</v>
      </c>
      <c r="C5" t="s">
        <v>292</v>
      </c>
      <c r="D5" t="s">
        <v>299</v>
      </c>
      <c r="E5" s="1">
        <v>600</v>
      </c>
      <c r="F5">
        <v>49</v>
      </c>
    </row>
    <row r="6" spans="1:6" x14ac:dyDescent="0.4">
      <c r="A6" t="s">
        <v>252</v>
      </c>
      <c r="B6" t="s">
        <v>232</v>
      </c>
      <c r="C6" t="s">
        <v>293</v>
      </c>
      <c r="D6" t="s">
        <v>299</v>
      </c>
      <c r="E6" s="1">
        <v>600</v>
      </c>
      <c r="F6">
        <v>46</v>
      </c>
    </row>
    <row r="7" spans="1:6" x14ac:dyDescent="0.4">
      <c r="A7" t="s">
        <v>174</v>
      </c>
      <c r="B7" t="s">
        <v>157</v>
      </c>
      <c r="C7" t="s">
        <v>175</v>
      </c>
      <c r="D7" t="s">
        <v>299</v>
      </c>
      <c r="E7" s="1">
        <v>600</v>
      </c>
      <c r="F7">
        <v>53</v>
      </c>
    </row>
    <row r="8" spans="1:6" x14ac:dyDescent="0.4">
      <c r="A8" t="s">
        <v>236</v>
      </c>
      <c r="B8" t="s">
        <v>232</v>
      </c>
      <c r="C8" t="s">
        <v>237</v>
      </c>
      <c r="D8" t="s">
        <v>299</v>
      </c>
      <c r="E8" s="1">
        <v>600</v>
      </c>
      <c r="F8">
        <v>246</v>
      </c>
    </row>
    <row r="9" spans="1:6" x14ac:dyDescent="0.4">
      <c r="A9" t="s">
        <v>172</v>
      </c>
      <c r="B9" t="s">
        <v>157</v>
      </c>
      <c r="C9" t="s">
        <v>173</v>
      </c>
      <c r="D9" t="s">
        <v>299</v>
      </c>
      <c r="E9" s="1">
        <v>600</v>
      </c>
      <c r="F9">
        <v>258</v>
      </c>
    </row>
    <row r="10" spans="1:6" x14ac:dyDescent="0.4">
      <c r="A10" t="s">
        <v>207</v>
      </c>
      <c r="B10" t="s">
        <v>208</v>
      </c>
      <c r="C10" t="s">
        <v>209</v>
      </c>
      <c r="D10" t="s">
        <v>299</v>
      </c>
      <c r="E10" s="1">
        <v>400</v>
      </c>
      <c r="F10">
        <v>66</v>
      </c>
    </row>
    <row r="11" spans="1:6" x14ac:dyDescent="0.4">
      <c r="A11" t="s">
        <v>178</v>
      </c>
      <c r="B11" t="s">
        <v>179</v>
      </c>
      <c r="C11" t="s">
        <v>180</v>
      </c>
      <c r="D11" t="s">
        <v>299</v>
      </c>
      <c r="E11" s="1">
        <v>300</v>
      </c>
      <c r="F11">
        <v>162</v>
      </c>
    </row>
    <row r="12" spans="1:6" x14ac:dyDescent="0.4">
      <c r="A12" t="s">
        <v>210</v>
      </c>
      <c r="B12" t="s">
        <v>208</v>
      </c>
      <c r="C12" t="s">
        <v>211</v>
      </c>
      <c r="D12" t="s">
        <v>299</v>
      </c>
      <c r="E12" s="1">
        <v>400</v>
      </c>
      <c r="F12">
        <v>63</v>
      </c>
    </row>
    <row r="13" spans="1:6" x14ac:dyDescent="0.4">
      <c r="A13" t="s">
        <v>156</v>
      </c>
      <c r="B13" t="s">
        <v>157</v>
      </c>
      <c r="C13" t="s">
        <v>158</v>
      </c>
      <c r="D13" t="s">
        <v>299</v>
      </c>
      <c r="E13" s="1">
        <v>0</v>
      </c>
      <c r="F13">
        <v>748</v>
      </c>
    </row>
    <row r="14" spans="1:6" x14ac:dyDescent="0.4">
      <c r="A14" t="s">
        <v>226</v>
      </c>
      <c r="B14" t="s">
        <v>227</v>
      </c>
      <c r="C14" t="s">
        <v>228</v>
      </c>
      <c r="D14" t="s">
        <v>299</v>
      </c>
      <c r="E14" s="1" t="s">
        <v>298</v>
      </c>
      <c r="F14">
        <v>244</v>
      </c>
    </row>
    <row r="15" spans="1:6" x14ac:dyDescent="0.4">
      <c r="A15" t="s">
        <v>194</v>
      </c>
      <c r="B15" t="s">
        <v>190</v>
      </c>
      <c r="C15" t="s">
        <v>195</v>
      </c>
      <c r="D15" t="s">
        <v>299</v>
      </c>
      <c r="E15" s="1" t="s">
        <v>297</v>
      </c>
      <c r="F15">
        <v>76</v>
      </c>
    </row>
    <row r="16" spans="1:6" x14ac:dyDescent="0.4">
      <c r="A16" t="s">
        <v>196</v>
      </c>
      <c r="B16" t="s">
        <v>190</v>
      </c>
      <c r="C16" t="s">
        <v>195</v>
      </c>
      <c r="D16" t="s">
        <v>299</v>
      </c>
      <c r="E16" s="1" t="s">
        <v>297</v>
      </c>
      <c r="F16">
        <v>61</v>
      </c>
    </row>
    <row r="17" spans="1:6" x14ac:dyDescent="0.4">
      <c r="A17" t="s">
        <v>197</v>
      </c>
      <c r="B17" t="s">
        <v>190</v>
      </c>
      <c r="C17" t="s">
        <v>195</v>
      </c>
      <c r="D17" t="s">
        <v>299</v>
      </c>
      <c r="E17" s="1" t="s">
        <v>297</v>
      </c>
      <c r="F17">
        <v>50</v>
      </c>
    </row>
    <row r="18" spans="1:6" x14ac:dyDescent="0.4">
      <c r="A18" t="s">
        <v>198</v>
      </c>
      <c r="B18" t="s">
        <v>190</v>
      </c>
      <c r="C18" t="s">
        <v>195</v>
      </c>
      <c r="D18" t="s">
        <v>299</v>
      </c>
      <c r="E18" s="1" t="s">
        <v>297</v>
      </c>
      <c r="F18">
        <v>43</v>
      </c>
    </row>
    <row r="19" spans="1:6" x14ac:dyDescent="0.4">
      <c r="A19" t="s">
        <v>192</v>
      </c>
      <c r="B19" t="s">
        <v>190</v>
      </c>
      <c r="C19" t="s">
        <v>193</v>
      </c>
      <c r="D19" t="s">
        <v>299</v>
      </c>
      <c r="E19" s="1" t="s">
        <v>297</v>
      </c>
      <c r="F19">
        <v>104</v>
      </c>
    </row>
    <row r="20" spans="1:6" x14ac:dyDescent="0.4">
      <c r="A20" t="s">
        <v>270</v>
      </c>
      <c r="B20" t="s">
        <v>232</v>
      </c>
      <c r="C20" t="s">
        <v>271</v>
      </c>
      <c r="D20" t="s">
        <v>299</v>
      </c>
      <c r="E20" s="1">
        <v>900</v>
      </c>
      <c r="F20">
        <v>179</v>
      </c>
    </row>
    <row r="21" spans="1:6" x14ac:dyDescent="0.4">
      <c r="A21" t="s">
        <v>212</v>
      </c>
      <c r="B21" t="s">
        <v>208</v>
      </c>
      <c r="C21" t="s">
        <v>213</v>
      </c>
      <c r="D21" t="s">
        <v>299</v>
      </c>
      <c r="E21" s="1">
        <v>400</v>
      </c>
      <c r="F21">
        <v>200</v>
      </c>
    </row>
    <row r="22" spans="1:6" x14ac:dyDescent="0.4">
      <c r="A22" t="s">
        <v>199</v>
      </c>
      <c r="B22" t="s">
        <v>190</v>
      </c>
      <c r="C22" t="s">
        <v>200</v>
      </c>
      <c r="D22" t="s">
        <v>299</v>
      </c>
      <c r="E22" s="1" t="s">
        <v>297</v>
      </c>
      <c r="F22">
        <v>222</v>
      </c>
    </row>
    <row r="23" spans="1:6" x14ac:dyDescent="0.4">
      <c r="A23" t="s">
        <v>242</v>
      </c>
      <c r="B23" t="s">
        <v>232</v>
      </c>
      <c r="C23" t="s">
        <v>243</v>
      </c>
      <c r="D23" t="s">
        <v>299</v>
      </c>
      <c r="E23" s="1">
        <v>600</v>
      </c>
      <c r="F23">
        <v>56</v>
      </c>
    </row>
    <row r="24" spans="1:6" x14ac:dyDescent="0.4">
      <c r="A24" t="s">
        <v>159</v>
      </c>
      <c r="B24" t="s">
        <v>157</v>
      </c>
      <c r="C24" t="s">
        <v>160</v>
      </c>
      <c r="D24" t="s">
        <v>299</v>
      </c>
      <c r="E24" s="1">
        <v>600</v>
      </c>
      <c r="F24">
        <v>65</v>
      </c>
    </row>
    <row r="25" spans="1:6" x14ac:dyDescent="0.4">
      <c r="A25" t="s">
        <v>183</v>
      </c>
      <c r="B25" t="s">
        <v>179</v>
      </c>
      <c r="C25" t="s">
        <v>184</v>
      </c>
      <c r="D25" t="s">
        <v>299</v>
      </c>
      <c r="E25" s="1">
        <v>500</v>
      </c>
      <c r="F25">
        <v>191</v>
      </c>
    </row>
    <row r="26" spans="1:6" x14ac:dyDescent="0.4">
      <c r="A26" t="s">
        <v>181</v>
      </c>
      <c r="B26" t="s">
        <v>179</v>
      </c>
      <c r="C26" t="s">
        <v>182</v>
      </c>
      <c r="D26" t="s">
        <v>299</v>
      </c>
      <c r="E26" s="1">
        <v>300</v>
      </c>
      <c r="F26">
        <v>160</v>
      </c>
    </row>
    <row r="27" spans="1:6" x14ac:dyDescent="0.4">
      <c r="A27" t="s">
        <v>185</v>
      </c>
      <c r="B27" t="s">
        <v>179</v>
      </c>
      <c r="C27" t="s">
        <v>186</v>
      </c>
      <c r="D27" t="s">
        <v>299</v>
      </c>
      <c r="E27" s="1">
        <v>300</v>
      </c>
      <c r="F27">
        <v>136</v>
      </c>
    </row>
    <row r="28" spans="1:6" x14ac:dyDescent="0.4">
      <c r="A28" t="s">
        <v>258</v>
      </c>
      <c r="B28" t="s">
        <v>232</v>
      </c>
      <c r="C28" t="s">
        <v>259</v>
      </c>
      <c r="D28" t="s">
        <v>299</v>
      </c>
      <c r="E28" s="1">
        <v>900</v>
      </c>
      <c r="F28">
        <v>100</v>
      </c>
    </row>
    <row r="29" spans="1:6" x14ac:dyDescent="0.4">
      <c r="A29" t="s">
        <v>229</v>
      </c>
      <c r="B29" t="s">
        <v>227</v>
      </c>
      <c r="C29" t="s">
        <v>230</v>
      </c>
      <c r="D29" t="s">
        <v>299</v>
      </c>
      <c r="E29" s="1" t="s">
        <v>298</v>
      </c>
      <c r="F29">
        <v>208</v>
      </c>
    </row>
    <row r="30" spans="1:6" x14ac:dyDescent="0.4">
      <c r="A30" t="s">
        <v>163</v>
      </c>
      <c r="B30" t="s">
        <v>157</v>
      </c>
      <c r="C30" t="s">
        <v>164</v>
      </c>
      <c r="D30" t="s">
        <v>299</v>
      </c>
      <c r="E30" s="1">
        <v>900</v>
      </c>
      <c r="F30">
        <v>241</v>
      </c>
    </row>
    <row r="31" spans="1:6" x14ac:dyDescent="0.4">
      <c r="A31" t="s">
        <v>165</v>
      </c>
      <c r="B31" t="s">
        <v>157</v>
      </c>
      <c r="C31" t="s">
        <v>166</v>
      </c>
      <c r="D31" t="s">
        <v>299</v>
      </c>
      <c r="E31" s="1">
        <v>900</v>
      </c>
      <c r="F31">
        <v>350</v>
      </c>
    </row>
    <row r="32" spans="1:6" x14ac:dyDescent="0.4">
      <c r="A32" t="s">
        <v>167</v>
      </c>
      <c r="B32" t="s">
        <v>157</v>
      </c>
      <c r="C32" t="s">
        <v>166</v>
      </c>
      <c r="D32" t="s">
        <v>299</v>
      </c>
      <c r="E32" s="1">
        <v>900</v>
      </c>
      <c r="F32">
        <v>87</v>
      </c>
    </row>
    <row r="33" spans="1:6" x14ac:dyDescent="0.4">
      <c r="A33" t="s">
        <v>201</v>
      </c>
      <c r="B33" t="s">
        <v>190</v>
      </c>
      <c r="C33" t="s">
        <v>202</v>
      </c>
      <c r="D33" t="s">
        <v>299</v>
      </c>
      <c r="E33" s="1" t="s">
        <v>297</v>
      </c>
      <c r="F33">
        <v>245</v>
      </c>
    </row>
    <row r="34" spans="1:6" x14ac:dyDescent="0.4">
      <c r="A34" t="s">
        <v>286</v>
      </c>
      <c r="B34" t="s">
        <v>208</v>
      </c>
      <c r="C34" t="s">
        <v>225</v>
      </c>
      <c r="D34" t="s">
        <v>299</v>
      </c>
      <c r="E34" s="1">
        <v>400</v>
      </c>
      <c r="F34">
        <v>62</v>
      </c>
    </row>
    <row r="35" spans="1:6" x14ac:dyDescent="0.4">
      <c r="A35" t="s">
        <v>222</v>
      </c>
      <c r="B35" t="s">
        <v>208</v>
      </c>
      <c r="C35" t="s">
        <v>290</v>
      </c>
      <c r="D35" t="s">
        <v>299</v>
      </c>
      <c r="E35" s="1">
        <v>400</v>
      </c>
      <c r="F35">
        <v>166</v>
      </c>
    </row>
    <row r="36" spans="1:6" x14ac:dyDescent="0.4">
      <c r="A36" t="s">
        <v>256</v>
      </c>
      <c r="B36" t="s">
        <v>232</v>
      </c>
      <c r="C36" t="s">
        <v>257</v>
      </c>
      <c r="D36" t="s">
        <v>299</v>
      </c>
      <c r="E36" s="1">
        <v>900</v>
      </c>
      <c r="F36">
        <v>305</v>
      </c>
    </row>
    <row r="37" spans="1:6" x14ac:dyDescent="0.4">
      <c r="A37" t="s">
        <v>168</v>
      </c>
      <c r="B37" t="s">
        <v>157</v>
      </c>
      <c r="C37" t="s">
        <v>169</v>
      </c>
      <c r="D37" t="s">
        <v>299</v>
      </c>
      <c r="E37" s="1">
        <v>600</v>
      </c>
      <c r="F37">
        <v>292</v>
      </c>
    </row>
    <row r="38" spans="1:6" x14ac:dyDescent="0.4">
      <c r="A38" t="s">
        <v>161</v>
      </c>
      <c r="B38" t="s">
        <v>157</v>
      </c>
      <c r="C38" t="s">
        <v>162</v>
      </c>
      <c r="D38" t="s">
        <v>299</v>
      </c>
      <c r="E38" s="1">
        <v>400</v>
      </c>
      <c r="F38">
        <v>79</v>
      </c>
    </row>
    <row r="39" spans="1:6" x14ac:dyDescent="0.4">
      <c r="A39" t="s">
        <v>214</v>
      </c>
      <c r="B39" t="s">
        <v>208</v>
      </c>
      <c r="C39" t="s">
        <v>289</v>
      </c>
      <c r="D39" t="s">
        <v>299</v>
      </c>
      <c r="E39" s="1">
        <v>400</v>
      </c>
      <c r="F39">
        <v>212</v>
      </c>
    </row>
    <row r="40" spans="1:6" x14ac:dyDescent="0.4">
      <c r="A40" t="s">
        <v>216</v>
      </c>
      <c r="B40" t="s">
        <v>208</v>
      </c>
      <c r="C40" t="s">
        <v>217</v>
      </c>
      <c r="D40" t="s">
        <v>299</v>
      </c>
      <c r="E40" s="1">
        <v>400</v>
      </c>
      <c r="F40">
        <v>119</v>
      </c>
    </row>
    <row r="41" spans="1:6" x14ac:dyDescent="0.4">
      <c r="A41" t="s">
        <v>203</v>
      </c>
      <c r="B41" t="s">
        <v>190</v>
      </c>
      <c r="C41" t="s">
        <v>204</v>
      </c>
      <c r="D41" t="s">
        <v>299</v>
      </c>
      <c r="E41" s="1" t="s">
        <v>297</v>
      </c>
      <c r="F41">
        <v>396</v>
      </c>
    </row>
    <row r="42" spans="1:6" x14ac:dyDescent="0.4">
      <c r="A42" t="s">
        <v>287</v>
      </c>
      <c r="B42" t="s">
        <v>232</v>
      </c>
      <c r="C42" t="s">
        <v>245</v>
      </c>
      <c r="D42" t="s">
        <v>299</v>
      </c>
      <c r="E42" s="1">
        <v>600</v>
      </c>
      <c r="F42">
        <v>46</v>
      </c>
    </row>
    <row r="43" spans="1:6" x14ac:dyDescent="0.4">
      <c r="A43" t="s">
        <v>238</v>
      </c>
      <c r="B43" t="s">
        <v>232</v>
      </c>
      <c r="C43" t="s">
        <v>239</v>
      </c>
      <c r="D43" t="s">
        <v>299</v>
      </c>
      <c r="E43" s="1">
        <v>600</v>
      </c>
      <c r="F43">
        <v>56</v>
      </c>
    </row>
    <row r="44" spans="1:6" x14ac:dyDescent="0.4">
      <c r="A44" t="s">
        <v>218</v>
      </c>
      <c r="B44" t="s">
        <v>208</v>
      </c>
      <c r="C44" t="s">
        <v>219</v>
      </c>
      <c r="D44" t="s">
        <v>299</v>
      </c>
      <c r="E44" s="1">
        <v>400</v>
      </c>
      <c r="F44">
        <v>80</v>
      </c>
    </row>
    <row r="45" spans="1:6" x14ac:dyDescent="0.4">
      <c r="A45" t="s">
        <v>220</v>
      </c>
      <c r="B45" t="s">
        <v>208</v>
      </c>
      <c r="C45" t="s">
        <v>221</v>
      </c>
      <c r="D45" t="s">
        <v>299</v>
      </c>
      <c r="E45" s="1">
        <v>400</v>
      </c>
      <c r="F45">
        <v>138</v>
      </c>
    </row>
    <row r="46" spans="1:6" x14ac:dyDescent="0.4">
      <c r="A46" t="s">
        <v>240</v>
      </c>
      <c r="B46" t="s">
        <v>232</v>
      </c>
      <c r="C46" t="s">
        <v>241</v>
      </c>
      <c r="D46" t="s">
        <v>299</v>
      </c>
      <c r="E46" s="1">
        <v>600</v>
      </c>
      <c r="F46">
        <v>87</v>
      </c>
    </row>
    <row r="47" spans="1:6" x14ac:dyDescent="0.4">
      <c r="A47" t="s">
        <v>254</v>
      </c>
      <c r="B47" t="s">
        <v>232</v>
      </c>
      <c r="C47" t="s">
        <v>294</v>
      </c>
      <c r="D47" t="s">
        <v>299</v>
      </c>
      <c r="E47" s="1">
        <v>600</v>
      </c>
      <c r="F47">
        <v>64</v>
      </c>
    </row>
    <row r="48" spans="1:6" x14ac:dyDescent="0.4">
      <c r="A48" t="s">
        <v>234</v>
      </c>
      <c r="B48" t="s">
        <v>232</v>
      </c>
      <c r="C48" t="s">
        <v>235</v>
      </c>
      <c r="D48" t="s">
        <v>299</v>
      </c>
      <c r="E48" s="1">
        <v>600</v>
      </c>
      <c r="F48">
        <v>51</v>
      </c>
    </row>
    <row r="49" spans="1:6" x14ac:dyDescent="0.4">
      <c r="A49" t="s">
        <v>260</v>
      </c>
      <c r="B49" t="s">
        <v>232</v>
      </c>
      <c r="C49" t="s">
        <v>295</v>
      </c>
      <c r="D49" t="s">
        <v>299</v>
      </c>
      <c r="E49" s="1">
        <v>600</v>
      </c>
      <c r="F49">
        <v>70</v>
      </c>
    </row>
    <row r="50" spans="1:6" x14ac:dyDescent="0.4">
      <c r="A50" t="s">
        <v>205</v>
      </c>
      <c r="B50" t="s">
        <v>190</v>
      </c>
      <c r="C50" t="s">
        <v>288</v>
      </c>
      <c r="D50" t="s">
        <v>299</v>
      </c>
      <c r="E50" s="1" t="s">
        <v>297</v>
      </c>
      <c r="F50">
        <v>229</v>
      </c>
    </row>
    <row r="51" spans="1:6" x14ac:dyDescent="0.4">
      <c r="A51" t="s">
        <v>187</v>
      </c>
      <c r="B51" t="s">
        <v>179</v>
      </c>
      <c r="C51" t="s">
        <v>188</v>
      </c>
      <c r="D51" t="s">
        <v>299</v>
      </c>
      <c r="E51" s="1">
        <v>500</v>
      </c>
      <c r="F51">
        <v>290</v>
      </c>
    </row>
    <row r="52" spans="1:6" x14ac:dyDescent="0.4">
      <c r="A52" t="s">
        <v>170</v>
      </c>
      <c r="B52" t="s">
        <v>157</v>
      </c>
      <c r="C52" t="s">
        <v>171</v>
      </c>
      <c r="D52" t="s">
        <v>299</v>
      </c>
      <c r="E52" s="1">
        <v>600</v>
      </c>
      <c r="F52">
        <v>368</v>
      </c>
    </row>
    <row r="53" spans="1:6" x14ac:dyDescent="0.4">
      <c r="A53" t="s">
        <v>246</v>
      </c>
      <c r="B53" t="s">
        <v>232</v>
      </c>
      <c r="C53" t="s">
        <v>247</v>
      </c>
      <c r="D53" t="s">
        <v>299</v>
      </c>
      <c r="E53" s="1">
        <v>400</v>
      </c>
      <c r="F53">
        <v>497</v>
      </c>
    </row>
  </sheetData>
  <sortState ref="A2:E53">
    <sortCondition ref="A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89C1-F2CB-4C6F-8C1F-811C87A9C300}">
  <dimension ref="A1:E7"/>
  <sheetViews>
    <sheetView tabSelected="1" workbookViewId="0">
      <selection activeCell="D6" sqref="D6"/>
    </sheetView>
  </sheetViews>
  <sheetFormatPr defaultRowHeight="17.399999999999999" x14ac:dyDescent="0.4"/>
  <cols>
    <col min="1" max="1" width="18.09765625" bestFit="1" customWidth="1"/>
    <col min="2" max="2" width="11.69921875" style="2" bestFit="1" customWidth="1"/>
    <col min="3" max="4" width="9.19921875" style="2" bestFit="1" customWidth="1"/>
    <col min="5" max="5" width="8.796875" style="2"/>
  </cols>
  <sheetData>
    <row r="1" spans="1:5" x14ac:dyDescent="0.4">
      <c r="B1" s="2" t="s">
        <v>300</v>
      </c>
      <c r="C1" s="2" t="s">
        <v>301</v>
      </c>
      <c r="D1" s="2" t="s">
        <v>302</v>
      </c>
      <c r="E1" s="2" t="s">
        <v>303</v>
      </c>
    </row>
    <row r="2" spans="1:5" x14ac:dyDescent="0.4">
      <c r="A2" t="s">
        <v>306</v>
      </c>
      <c r="B2" s="2">
        <v>222765</v>
      </c>
      <c r="C2" s="2">
        <v>156762</v>
      </c>
      <c r="D2" s="2">
        <v>114372</v>
      </c>
      <c r="E2" s="2">
        <v>85538</v>
      </c>
    </row>
    <row r="3" spans="1:5" x14ac:dyDescent="0.4">
      <c r="A3" t="s">
        <v>307</v>
      </c>
      <c r="B3" s="2">
        <v>60391</v>
      </c>
      <c r="C3" s="2">
        <v>26798</v>
      </c>
      <c r="D3" s="2">
        <v>73687</v>
      </c>
      <c r="E3" s="2">
        <v>98577</v>
      </c>
    </row>
    <row r="5" spans="1:5" x14ac:dyDescent="0.4">
      <c r="A5" t="s">
        <v>304</v>
      </c>
      <c r="B5" s="3">
        <f>(B3/B2)</f>
        <v>0.27109734473548358</v>
      </c>
      <c r="C5" s="3">
        <f t="shared" ref="C5:E5" si="0">(C3/C2)</f>
        <v>0.17094704073691327</v>
      </c>
      <c r="D5" s="3">
        <f t="shared" si="0"/>
        <v>0.6442748225090057</v>
      </c>
      <c r="E5" s="3">
        <f t="shared" si="0"/>
        <v>1.1524351750099371</v>
      </c>
    </row>
    <row r="7" spans="1:5" x14ac:dyDescent="0.4">
      <c r="A7" t="s">
        <v>305</v>
      </c>
      <c r="B7" s="2" t="s">
        <v>316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2025년</vt:lpstr>
      <vt:lpstr>2023년</vt:lpstr>
      <vt:lpstr>2022년</vt:lpstr>
      <vt:lpstr>구별 주차장 확보율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김동근 님</cp:lastModifiedBy>
  <dcterms:created xsi:type="dcterms:W3CDTF">2025-04-01T06:08:56Z</dcterms:created>
  <dcterms:modified xsi:type="dcterms:W3CDTF">2025-04-01T08:50:53Z</dcterms:modified>
</cp:coreProperties>
</file>